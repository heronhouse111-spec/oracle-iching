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營利模式總覽" sheetId="1" state="visible" r:id="rId3"/>
    <sheet name="2. 點數系統" sheetId="2" state="visible" r:id="rId4"/>
    <sheet name="3. 定價方案" sheetId="3" state="visible" r:id="rId5"/>
    <sheet name="4. 權益對照" sheetId="4" state="visible" r:id="rId6"/>
    <sheet name="5. 單位經濟" sheetId="5" state="visible" r:id="rId7"/>
    <sheet name="6. 轉換漏斗" sheetId="6" state="visible" r:id="rId8"/>
    <sheet name="7. 風險與待辦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<sst xmlns="http://schemas.openxmlformats.org/spreadsheetml/2006/main" count="306" uniqueCount="233">
  <si>
    <r>
      <rPr>
        <b val="true"/>
        <sz val="11"/>
        <color rgb="FFFFFFFF"/>
        <rFont val="Arial"/>
        <family val="0"/>
        <charset val="1"/>
      </rPr>
      <t xml:space="preserve">oracle.heronhouse.me —— </t>
    </r>
    <r>
      <rPr>
        <b val="true"/>
        <sz val="11"/>
        <color rgb="FFFFFFFF"/>
        <rFont val="DejaVu Sans"/>
        <family val="2"/>
      </rPr>
      <t xml:space="preserve">營利模式總覽</t>
    </r>
    <r>
      <rPr>
        <b val="true"/>
        <sz val="11"/>
        <color rgb="FFFFFFFF"/>
        <rFont val="Arial"/>
        <family val="0"/>
        <charset val="1"/>
      </rPr>
      <t xml:space="preserve">(2026-04-21)</t>
    </r>
  </si>
  <si>
    <r>
      <rPr>
        <i val="true"/>
        <sz val="9"/>
        <color rgb="FF595959"/>
        <rFont val="DejaVu Sans"/>
        <family val="2"/>
      </rPr>
      <t xml:space="preserve">中文易經 </t>
    </r>
    <r>
      <rPr>
        <i val="true"/>
        <sz val="9"/>
        <color rgb="FF595959"/>
        <rFont val="Arial"/>
        <family val="0"/>
        <charset val="1"/>
      </rPr>
      <t xml:space="preserve">/ </t>
    </r>
    <r>
      <rPr>
        <i val="true"/>
        <sz val="9"/>
        <color rgb="FF595959"/>
        <rFont val="DejaVu Sans"/>
        <family val="2"/>
      </rPr>
      <t xml:space="preserve">塔羅 </t>
    </r>
    <r>
      <rPr>
        <i val="true"/>
        <sz val="9"/>
        <color rgb="FF595959"/>
        <rFont val="Arial"/>
        <family val="0"/>
        <charset val="1"/>
      </rPr>
      <t xml:space="preserve">AI </t>
    </r>
    <r>
      <rPr>
        <i val="true"/>
        <sz val="9"/>
        <color rgb="FF595959"/>
        <rFont val="DejaVu Sans"/>
        <family val="2"/>
      </rPr>
      <t xml:space="preserve">占卜 </t>
    </r>
    <r>
      <rPr>
        <i val="true"/>
        <sz val="9"/>
        <color rgb="FF595959"/>
        <rFont val="Arial"/>
        <family val="0"/>
        <charset val="1"/>
      </rPr>
      <t xml:space="preserve">Web App(PWA),DeepSeek </t>
    </r>
    <r>
      <rPr>
        <i val="true"/>
        <sz val="9"/>
        <color rgb="FF595959"/>
        <rFont val="DejaVu Sans"/>
        <family val="2"/>
      </rPr>
      <t xml:space="preserve">驅動</t>
    </r>
    <r>
      <rPr>
        <i val="true"/>
        <sz val="9"/>
        <color rgb="FF595959"/>
        <rFont val="Arial"/>
        <family val="0"/>
        <charset val="1"/>
      </rPr>
      <t xml:space="preserve">,Supabase </t>
    </r>
    <r>
      <rPr>
        <i val="true"/>
        <sz val="9"/>
        <color rgb="FF595959"/>
        <rFont val="DejaVu Sans"/>
        <family val="2"/>
      </rPr>
      <t xml:space="preserve">帳號</t>
    </r>
    <r>
      <rPr>
        <i val="true"/>
        <sz val="9"/>
        <color rgb="FF595959"/>
        <rFont val="Arial"/>
        <family val="0"/>
        <charset val="1"/>
      </rPr>
      <t xml:space="preserve">,</t>
    </r>
    <r>
      <rPr>
        <i val="true"/>
        <sz val="9"/>
        <color rgb="FF595959"/>
        <rFont val="DejaVu Sans"/>
        <family val="2"/>
      </rPr>
      <t xml:space="preserve">多語系</t>
    </r>
    <r>
      <rPr>
        <i val="true"/>
        <sz val="9"/>
        <color rgb="FF595959"/>
        <rFont val="Arial"/>
        <family val="0"/>
        <charset val="1"/>
      </rPr>
      <t xml:space="preserve">(</t>
    </r>
    <r>
      <rPr>
        <i val="true"/>
        <sz val="9"/>
        <color rgb="FF595959"/>
        <rFont val="DejaVu Sans"/>
        <family val="2"/>
      </rPr>
      <t xml:space="preserve">繁</t>
    </r>
    <r>
      <rPr>
        <i val="true"/>
        <sz val="9"/>
        <color rgb="FF595959"/>
        <rFont val="Arial"/>
        <family val="0"/>
        <charset val="1"/>
      </rPr>
      <t xml:space="preserve">/</t>
    </r>
    <r>
      <rPr>
        <i val="true"/>
        <sz val="9"/>
        <color rgb="FF595959"/>
        <rFont val="DejaVu Sans"/>
        <family val="2"/>
      </rPr>
      <t xml:space="preserve">簡</t>
    </r>
    <r>
      <rPr>
        <i val="true"/>
        <sz val="9"/>
        <color rgb="FF595959"/>
        <rFont val="Arial"/>
        <family val="0"/>
        <charset val="1"/>
      </rPr>
      <t xml:space="preserve">/EN)</t>
    </r>
  </si>
  <si>
    <t xml:space="preserve">產品核心</t>
  </si>
  <si>
    <t xml:space="preserve">問題痛點</t>
  </si>
  <si>
    <r>
      <rPr>
        <sz val="11"/>
        <rFont val="DejaVu Sans"/>
        <family val="2"/>
      </rPr>
      <t xml:space="preserve">傳統占卜門檻高、缺乏完整文字解說</t>
    </r>
    <r>
      <rPr>
        <sz val="11"/>
        <rFont val="Arial"/>
        <family val="0"/>
        <charset val="1"/>
      </rPr>
      <t xml:space="preserve">;</t>
    </r>
    <r>
      <rPr>
        <sz val="11"/>
        <rFont val="DejaVu Sans"/>
        <family val="2"/>
      </rPr>
      <t xml:space="preserve">中文市場 </t>
    </r>
    <r>
      <rPr>
        <sz val="11"/>
        <rFont val="Arial"/>
        <family val="0"/>
        <charset val="1"/>
      </rPr>
      <t xml:space="preserve">AI </t>
    </r>
    <r>
      <rPr>
        <sz val="11"/>
        <rFont val="DejaVu Sans"/>
        <family val="2"/>
      </rPr>
      <t xml:space="preserve">占卜產品稀少。</t>
    </r>
  </si>
  <si>
    <t xml:space="preserve">產品主張</t>
  </si>
  <si>
    <r>
      <rPr>
        <sz val="11"/>
        <rFont val="Arial"/>
        <family val="0"/>
        <charset val="1"/>
      </rPr>
      <t xml:space="preserve">AI </t>
    </r>
    <r>
      <rPr>
        <sz val="11"/>
        <rFont val="DejaVu Sans"/>
        <family val="2"/>
      </rPr>
      <t xml:space="preserve">即時解卦 </t>
    </r>
    <r>
      <rPr>
        <sz val="11"/>
        <rFont val="Arial"/>
        <family val="0"/>
        <charset val="1"/>
      </rPr>
      <t xml:space="preserve">+ </t>
    </r>
    <r>
      <rPr>
        <sz val="11"/>
        <rFont val="DejaVu Sans"/>
        <family val="2"/>
      </rPr>
      <t xml:space="preserve">可追問 </t>
    </r>
    <r>
      <rPr>
        <sz val="11"/>
        <rFont val="Arial"/>
        <family val="0"/>
        <charset val="1"/>
      </rPr>
      <t xml:space="preserve">+ </t>
    </r>
    <r>
      <rPr>
        <sz val="11"/>
        <rFont val="DejaVu Sans"/>
        <family val="2"/>
      </rPr>
      <t xml:space="preserve">占卜紀錄雲端同步 </t>
    </r>
    <r>
      <rPr>
        <sz val="11"/>
        <rFont val="Arial"/>
        <family val="0"/>
        <charset val="1"/>
      </rPr>
      <t xml:space="preserve">+ </t>
    </r>
    <r>
      <rPr>
        <sz val="11"/>
        <rFont val="DejaVu Sans"/>
        <family val="2"/>
      </rPr>
      <t xml:space="preserve">分享圖產生器。</t>
    </r>
  </si>
  <si>
    <t xml:space="preserve">目標族群</t>
  </si>
  <si>
    <r>
      <rPr>
        <sz val="11"/>
        <rFont val="Arial"/>
        <family val="0"/>
        <charset val="1"/>
      </rPr>
      <t xml:space="preserve">20-45 </t>
    </r>
    <r>
      <rPr>
        <sz val="11"/>
        <rFont val="DejaVu Sans"/>
        <family val="2"/>
      </rPr>
      <t xml:space="preserve">歲華文圈對東方命理有興趣、願意付小額費用換取娛樂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心靈內容的使用者。</t>
    </r>
  </si>
  <si>
    <t xml:space="preserve">差異化</t>
  </si>
  <si>
    <r>
      <rPr>
        <sz val="11"/>
        <rFont val="DejaVu Sans"/>
        <family val="2"/>
      </rPr>
      <t xml:space="preserve">支援繁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簡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英三語、易經六十四卦 </t>
    </r>
    <r>
      <rPr>
        <sz val="11"/>
        <rFont val="Arial"/>
        <family val="0"/>
        <charset val="1"/>
      </rPr>
      <t xml:space="preserve">+ </t>
    </r>
    <r>
      <rPr>
        <sz val="11"/>
        <rFont val="DejaVu Sans"/>
        <family val="2"/>
      </rPr>
      <t xml:space="preserve">塔羅、衍伸占卜</t>
    </r>
    <r>
      <rPr>
        <sz val="11"/>
        <rFont val="Arial"/>
        <family val="0"/>
        <charset val="1"/>
      </rPr>
      <t xml:space="preserve">(chain divination)</t>
    </r>
    <r>
      <rPr>
        <sz val="11"/>
        <rFont val="DejaVu Sans"/>
        <family val="2"/>
      </rPr>
      <t xml:space="preserve">、分享圖。</t>
    </r>
  </si>
  <si>
    <t xml:space="preserve">變現主軸</t>
  </si>
  <si>
    <r>
      <rPr>
        <sz val="11"/>
        <rFont val="Arial"/>
        <family val="0"/>
        <charset val="1"/>
      </rPr>
      <t xml:space="preserve">Freemium + </t>
    </r>
    <r>
      <rPr>
        <sz val="11"/>
        <rFont val="DejaVu Sans"/>
        <family val="2"/>
      </rPr>
      <t xml:space="preserve">點數包 </t>
    </r>
    <r>
      <rPr>
        <sz val="11"/>
        <rFont val="Arial"/>
        <family val="0"/>
        <charset val="1"/>
      </rPr>
      <t xml:space="preserve">+ </t>
    </r>
    <r>
      <rPr>
        <sz val="11"/>
        <rFont val="DejaVu Sans"/>
        <family val="2"/>
      </rPr>
      <t xml:space="preserve">訂閱混合</t>
    </r>
    <r>
      <rPr>
        <sz val="11"/>
        <rFont val="Arial"/>
        <family val="0"/>
        <charset val="1"/>
      </rPr>
      <t xml:space="preserve">;</t>
    </r>
    <r>
      <rPr>
        <sz val="11"/>
        <rFont val="DejaVu Sans"/>
        <family val="2"/>
      </rPr>
      <t xml:space="preserve">註冊贈 </t>
    </r>
    <r>
      <rPr>
        <sz val="11"/>
        <rFont val="Arial"/>
        <family val="0"/>
        <charset val="1"/>
      </rPr>
      <t xml:space="preserve">30 </t>
    </r>
    <r>
      <rPr>
        <sz val="11"/>
        <rFont val="DejaVu Sans"/>
        <family val="2"/>
      </rPr>
      <t xml:space="preserve">點降低進入門檻。</t>
    </r>
  </si>
  <si>
    <r>
      <rPr>
        <b val="true"/>
        <sz val="11"/>
        <color rgb="FF000000"/>
        <rFont val="DejaVu Sans"/>
        <family val="2"/>
      </rPr>
      <t xml:space="preserve">收入來源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DejaVu Sans"/>
        <family val="2"/>
      </rPr>
      <t xml:space="preserve">三軸</t>
    </r>
    <r>
      <rPr>
        <b val="true"/>
        <sz val="11"/>
        <color rgb="FF000000"/>
        <rFont val="Arial"/>
        <family val="0"/>
        <charset val="1"/>
      </rPr>
      <t xml:space="preserve">)</t>
    </r>
  </si>
  <si>
    <t xml:space="preserve">軸</t>
  </si>
  <si>
    <t xml:space="preserve">說明</t>
  </si>
  <si>
    <t xml:space="preserve">策略意義</t>
  </si>
  <si>
    <r>
      <rPr>
        <b val="true"/>
        <sz val="11"/>
        <rFont val="DejaVu Sans"/>
        <family val="2"/>
      </rPr>
      <t xml:space="preserve">軸 </t>
    </r>
    <r>
      <rPr>
        <b val="true"/>
        <sz val="11"/>
        <rFont val="Arial"/>
        <family val="0"/>
        <charset val="1"/>
      </rPr>
      <t xml:space="preserve">1 — </t>
    </r>
    <r>
      <rPr>
        <b val="true"/>
        <sz val="11"/>
        <rFont val="DejaVu Sans"/>
        <family val="2"/>
      </rPr>
      <t xml:space="preserve">點數包 </t>
    </r>
    <r>
      <rPr>
        <b val="true"/>
        <sz val="11"/>
        <rFont val="Arial"/>
        <family val="0"/>
        <charset val="1"/>
      </rPr>
      <t xml:space="preserve">(Credit Packs)</t>
    </r>
  </si>
  <si>
    <r>
      <rPr>
        <sz val="11"/>
        <rFont val="DejaVu Sans"/>
        <family val="2"/>
      </rPr>
      <t xml:space="preserve">一次性付費購買點數</t>
    </r>
    <r>
      <rPr>
        <sz val="11"/>
        <rFont val="Arial"/>
        <family val="0"/>
        <charset val="1"/>
      </rPr>
      <t xml:space="preserve">,</t>
    </r>
    <r>
      <rPr>
        <sz val="11"/>
        <rFont val="DejaVu Sans"/>
        <family val="2"/>
      </rPr>
      <t xml:space="preserve">可消耗在主占 </t>
    </r>
    <r>
      <rPr>
        <sz val="11"/>
        <rFont val="Arial"/>
        <family val="0"/>
        <charset val="1"/>
      </rPr>
      <t xml:space="preserve">/ </t>
    </r>
    <r>
      <rPr>
        <sz val="11"/>
        <rFont val="DejaVu Sans"/>
        <family val="2"/>
      </rPr>
      <t xml:space="preserve">衍伸 </t>
    </r>
    <r>
      <rPr>
        <sz val="11"/>
        <rFont val="Arial"/>
        <family val="0"/>
        <charset val="1"/>
      </rPr>
      <t xml:space="preserve">/ </t>
    </r>
    <r>
      <rPr>
        <sz val="11"/>
        <rFont val="DejaVu Sans"/>
        <family val="2"/>
      </rPr>
      <t xml:space="preserve">追問。適合低頻用戶。</t>
    </r>
  </si>
  <si>
    <t xml:space="preserve">高毛利、無承諾、轉換門檻低</t>
  </si>
  <si>
    <r>
      <rPr>
        <b val="true"/>
        <sz val="11"/>
        <rFont val="DejaVu Sans"/>
        <family val="2"/>
      </rPr>
      <t xml:space="preserve">軸 </t>
    </r>
    <r>
      <rPr>
        <b val="true"/>
        <sz val="11"/>
        <rFont val="Arial"/>
        <family val="0"/>
        <charset val="1"/>
      </rPr>
      <t xml:space="preserve">2 — </t>
    </r>
    <r>
      <rPr>
        <b val="true"/>
        <sz val="11"/>
        <rFont val="DejaVu Sans"/>
        <family val="2"/>
      </rPr>
      <t xml:space="preserve">訂閱 </t>
    </r>
    <r>
      <rPr>
        <b val="true"/>
        <sz val="11"/>
        <rFont val="Arial"/>
        <family val="0"/>
        <charset val="1"/>
      </rPr>
      <t xml:space="preserve">(Subscription)</t>
    </r>
  </si>
  <si>
    <r>
      <rPr>
        <sz val="11"/>
        <rFont val="DejaVu Sans"/>
        <family val="2"/>
      </rPr>
      <t xml:space="preserve">月訂 </t>
    </r>
    <r>
      <rPr>
        <sz val="11"/>
        <rFont val="Arial"/>
        <family val="0"/>
        <charset val="1"/>
      </rPr>
      <t xml:space="preserve">/ </t>
    </r>
    <r>
      <rPr>
        <sz val="11"/>
        <rFont val="DejaVu Sans"/>
        <family val="2"/>
      </rPr>
      <t xml:space="preserve">年訂</t>
    </r>
    <r>
      <rPr>
        <sz val="11"/>
        <rFont val="Arial"/>
        <family val="0"/>
        <charset val="1"/>
      </rPr>
      <t xml:space="preserve">,</t>
    </r>
    <r>
      <rPr>
        <sz val="11"/>
        <rFont val="DejaVu Sans"/>
        <family val="2"/>
      </rPr>
      <t xml:space="preserve">固定每月補 </t>
    </r>
    <r>
      <rPr>
        <sz val="11"/>
        <rFont val="Arial"/>
        <family val="0"/>
        <charset val="1"/>
      </rPr>
      <t xml:space="preserve">600 </t>
    </r>
    <r>
      <rPr>
        <sz val="11"/>
        <rFont val="DejaVu Sans"/>
        <family val="2"/>
      </rPr>
      <t xml:space="preserve">點 </t>
    </r>
    <r>
      <rPr>
        <sz val="11"/>
        <rFont val="Arial"/>
        <family val="0"/>
        <charset val="1"/>
      </rPr>
      <t xml:space="preserve">+ </t>
    </r>
    <r>
      <rPr>
        <sz val="11"/>
        <rFont val="DejaVu Sans"/>
        <family val="2"/>
      </rPr>
      <t xml:space="preserve">解鎖完整權益。適合中高頻用戶。</t>
    </r>
  </si>
  <si>
    <r>
      <rPr>
        <sz val="11"/>
        <rFont val="Arial"/>
        <family val="0"/>
        <charset val="1"/>
      </rPr>
      <t xml:space="preserve">MRR </t>
    </r>
    <r>
      <rPr>
        <sz val="11"/>
        <rFont val="DejaVu Sans"/>
        <family val="2"/>
      </rPr>
      <t xml:space="preserve">穩定、可做 </t>
    </r>
    <r>
      <rPr>
        <sz val="11"/>
        <rFont val="Arial"/>
        <family val="0"/>
        <charset val="1"/>
      </rPr>
      <t xml:space="preserve">LTV </t>
    </r>
    <r>
      <rPr>
        <sz val="11"/>
        <rFont val="DejaVu Sans"/>
        <family val="2"/>
      </rPr>
      <t xml:space="preserve">預測</t>
    </r>
  </si>
  <si>
    <r>
      <rPr>
        <b val="true"/>
        <sz val="11"/>
        <rFont val="DejaVu Sans"/>
        <family val="2"/>
      </rPr>
      <t xml:space="preserve">軸 </t>
    </r>
    <r>
      <rPr>
        <b val="true"/>
        <sz val="11"/>
        <rFont val="Arial"/>
        <family val="0"/>
        <charset val="1"/>
      </rPr>
      <t xml:space="preserve">3 — </t>
    </r>
    <r>
      <rPr>
        <b val="true"/>
        <sz val="11"/>
        <rFont val="DejaVu Sans"/>
        <family val="2"/>
      </rPr>
      <t xml:space="preserve">開運物品優惠券</t>
    </r>
  </si>
  <si>
    <r>
      <rPr>
        <sz val="11"/>
        <rFont val="DejaVu Sans"/>
        <family val="2"/>
      </rPr>
      <t xml:space="preserve">訂閱戶享選購 </t>
    </r>
    <r>
      <rPr>
        <sz val="11"/>
        <rFont val="Arial"/>
        <family val="0"/>
        <charset val="1"/>
      </rPr>
      <t xml:space="preserve">7 </t>
    </r>
    <r>
      <rPr>
        <sz val="11"/>
        <rFont val="DejaVu Sans"/>
        <family val="2"/>
      </rPr>
      <t xml:space="preserve">折</t>
    </r>
    <r>
      <rPr>
        <sz val="11"/>
        <rFont val="Arial"/>
        <family val="0"/>
        <charset val="1"/>
      </rPr>
      <t xml:space="preserve">,</t>
    </r>
    <r>
      <rPr>
        <sz val="11"/>
        <rFont val="DejaVu Sans"/>
        <family val="2"/>
      </rPr>
      <t xml:space="preserve">未來可接實體 </t>
    </r>
    <r>
      <rPr>
        <sz val="11"/>
        <rFont val="Arial"/>
        <family val="0"/>
        <charset val="1"/>
      </rPr>
      <t xml:space="preserve">/ </t>
    </r>
    <r>
      <rPr>
        <sz val="11"/>
        <rFont val="DejaVu Sans"/>
        <family val="2"/>
      </rPr>
      <t xml:space="preserve">數位商品。適合二次變現。</t>
    </r>
  </si>
  <si>
    <r>
      <rPr>
        <sz val="11"/>
        <rFont val="DejaVu Sans"/>
        <family val="2"/>
      </rPr>
      <t xml:space="preserve">目前尚未落地</t>
    </r>
    <r>
      <rPr>
        <sz val="11"/>
        <rFont val="Arial"/>
        <family val="0"/>
        <charset val="1"/>
      </rPr>
      <t xml:space="preserve">,</t>
    </r>
    <r>
      <rPr>
        <sz val="11"/>
        <rFont val="DejaVu Sans"/>
        <family val="2"/>
      </rPr>
      <t xml:space="preserve">預留 </t>
    </r>
    <r>
      <rPr>
        <sz val="11"/>
        <rFont val="Arial"/>
        <family val="0"/>
        <charset val="1"/>
      </rPr>
      <t xml:space="preserve">hook</t>
    </r>
  </si>
  <si>
    <t xml:space="preserve">使用者分層</t>
  </si>
  <si>
    <t xml:space="preserve">分層</t>
  </si>
  <si>
    <t xml:space="preserve">權益</t>
  </si>
  <si>
    <t xml:space="preserve">商業角色</t>
  </si>
  <si>
    <r>
      <rPr>
        <b val="true"/>
        <sz val="11"/>
        <rFont val="DejaVu Sans"/>
        <family val="2"/>
      </rPr>
      <t xml:space="preserve">訪客 </t>
    </r>
    <r>
      <rPr>
        <b val="true"/>
        <sz val="11"/>
        <rFont val="Arial"/>
        <family val="0"/>
        <charset val="1"/>
      </rPr>
      <t xml:space="preserve">Guest</t>
    </r>
  </si>
  <si>
    <r>
      <rPr>
        <sz val="11"/>
        <rFont val="DejaVu Sans"/>
        <family val="2"/>
      </rPr>
      <t xml:space="preserve">未登入</t>
    </r>
    <r>
      <rPr>
        <sz val="11"/>
        <rFont val="Arial"/>
        <family val="0"/>
        <charset val="1"/>
      </rPr>
      <t xml:space="preserve">;</t>
    </r>
    <r>
      <rPr>
        <sz val="11"/>
        <rFont val="DejaVu Sans"/>
        <family val="2"/>
      </rPr>
      <t xml:space="preserve">每人 </t>
    </r>
    <r>
      <rPr>
        <sz val="11"/>
        <rFont val="Arial"/>
        <family val="0"/>
        <charset val="1"/>
      </rPr>
      <t xml:space="preserve">2 </t>
    </r>
    <r>
      <rPr>
        <sz val="11"/>
        <rFont val="DejaVu Sans"/>
        <family val="2"/>
      </rPr>
      <t xml:space="preserve">次主占免費、不可衍伸、不可存紀錄。</t>
    </r>
  </si>
  <si>
    <t xml:space="preserve">漏斗入口</t>
  </si>
  <si>
    <r>
      <rPr>
        <b val="true"/>
        <sz val="11"/>
        <rFont val="DejaVu Sans"/>
        <family val="2"/>
      </rPr>
      <t xml:space="preserve">註冊戶 </t>
    </r>
    <r>
      <rPr>
        <b val="true"/>
        <sz val="11"/>
        <rFont val="Arial"/>
        <family val="0"/>
        <charset val="1"/>
      </rPr>
      <t xml:space="preserve">Free</t>
    </r>
  </si>
  <si>
    <r>
      <rPr>
        <sz val="11"/>
        <rFont val="DejaVu Sans"/>
        <family val="2"/>
      </rPr>
      <t xml:space="preserve">登入後贈 </t>
    </r>
    <r>
      <rPr>
        <sz val="11"/>
        <rFont val="Arial"/>
        <family val="0"/>
        <charset val="1"/>
      </rPr>
      <t xml:space="preserve">30 </t>
    </r>
    <r>
      <rPr>
        <sz val="11"/>
        <rFont val="DejaVu Sans"/>
        <family val="2"/>
      </rPr>
      <t xml:space="preserve">點</t>
    </r>
    <r>
      <rPr>
        <sz val="11"/>
        <rFont val="Arial"/>
        <family val="0"/>
        <charset val="1"/>
      </rPr>
      <t xml:space="preserve">(= 6 </t>
    </r>
    <r>
      <rPr>
        <sz val="11"/>
        <rFont val="DejaVu Sans"/>
        <family val="2"/>
      </rPr>
      <t xml:space="preserve">次主占</t>
    </r>
    <r>
      <rPr>
        <sz val="11"/>
        <rFont val="Arial"/>
        <family val="0"/>
        <charset val="1"/>
      </rPr>
      <t xml:space="preserve">);</t>
    </r>
    <r>
      <rPr>
        <sz val="11"/>
        <rFont val="DejaVu Sans"/>
        <family val="2"/>
      </rPr>
      <t xml:space="preserve">全功能可試、紀錄雲端同步。</t>
    </r>
  </si>
  <si>
    <t xml:space="preserve">轉換池</t>
  </si>
  <si>
    <r>
      <rPr>
        <b val="true"/>
        <sz val="11"/>
        <rFont val="DejaVu Sans"/>
        <family val="2"/>
      </rPr>
      <t xml:space="preserve">訂閱戶 </t>
    </r>
    <r>
      <rPr>
        <b val="true"/>
        <sz val="11"/>
        <rFont val="Arial"/>
        <family val="0"/>
        <charset val="1"/>
      </rPr>
      <t xml:space="preserve">Subscriber</t>
    </r>
  </si>
  <si>
    <r>
      <rPr>
        <sz val="11"/>
        <rFont val="DejaVu Sans"/>
        <family val="2"/>
      </rPr>
      <t xml:space="preserve">月 </t>
    </r>
    <r>
      <rPr>
        <sz val="11"/>
        <rFont val="Arial"/>
        <family val="0"/>
        <charset val="1"/>
      </rPr>
      <t xml:space="preserve">/ </t>
    </r>
    <r>
      <rPr>
        <sz val="11"/>
        <rFont val="DejaVu Sans"/>
        <family val="2"/>
      </rPr>
      <t xml:space="preserve">年訂</t>
    </r>
    <r>
      <rPr>
        <sz val="11"/>
        <rFont val="Arial"/>
        <family val="0"/>
        <charset val="1"/>
      </rPr>
      <t xml:space="preserve">;</t>
    </r>
    <r>
      <rPr>
        <sz val="11"/>
        <rFont val="DejaVu Sans"/>
        <family val="2"/>
      </rPr>
      <t xml:space="preserve">每月補 </t>
    </r>
    <r>
      <rPr>
        <sz val="11"/>
        <rFont val="Arial"/>
        <family val="0"/>
        <charset val="1"/>
      </rPr>
      <t xml:space="preserve">600 </t>
    </r>
    <r>
      <rPr>
        <sz val="11"/>
        <rFont val="DejaVu Sans"/>
        <family val="2"/>
      </rPr>
      <t xml:space="preserve">點、詳細爻辭、分享圖無浮水印。</t>
    </r>
  </si>
  <si>
    <r>
      <rPr>
        <sz val="11"/>
        <rFont val="Arial"/>
        <family val="0"/>
        <charset val="1"/>
      </rPr>
      <t xml:space="preserve">MRR </t>
    </r>
    <r>
      <rPr>
        <sz val="11"/>
        <rFont val="DejaVu Sans"/>
        <family val="2"/>
      </rPr>
      <t xml:space="preserve">核心</t>
    </r>
  </si>
  <si>
    <r>
      <rPr>
        <b val="true"/>
        <sz val="11"/>
        <rFont val="DejaVu Sans"/>
        <family val="2"/>
      </rPr>
      <t xml:space="preserve">點數戶 </t>
    </r>
    <r>
      <rPr>
        <b val="true"/>
        <sz val="11"/>
        <rFont val="Arial"/>
        <family val="0"/>
        <charset val="1"/>
      </rPr>
      <t xml:space="preserve">Pack User</t>
    </r>
  </si>
  <si>
    <r>
      <rPr>
        <sz val="11"/>
        <rFont val="DejaVu Sans"/>
        <family val="2"/>
      </rPr>
      <t xml:space="preserve">買過點數包但未訂閱</t>
    </r>
    <r>
      <rPr>
        <sz val="11"/>
        <rFont val="Arial"/>
        <family val="0"/>
        <charset val="1"/>
      </rPr>
      <t xml:space="preserve">;</t>
    </r>
    <r>
      <rPr>
        <sz val="11"/>
        <rFont val="DejaVu Sans"/>
        <family val="2"/>
      </rPr>
      <t xml:space="preserve">全功能可用、依點數餘額消費。</t>
    </r>
  </si>
  <si>
    <t xml:space="preserve">一次性收入</t>
  </si>
  <si>
    <r>
      <rPr>
        <b val="true"/>
        <sz val="11"/>
        <color rgb="FFFFFFFF"/>
        <rFont val="DejaVu Sans"/>
        <family val="2"/>
      </rPr>
      <t xml:space="preserve">點數系統機制</t>
    </r>
    <r>
      <rPr>
        <b val="true"/>
        <sz val="11"/>
        <color rgb="FFFFFFFF"/>
        <rFont val="Arial"/>
        <family val="0"/>
        <charset val="1"/>
      </rPr>
      <t xml:space="preserve">(lib/credits.ts)</t>
    </r>
  </si>
  <si>
    <r>
      <rPr>
        <b val="true"/>
        <sz val="11"/>
        <color rgb="FF000000"/>
        <rFont val="DejaVu Sans"/>
        <family val="2"/>
      </rPr>
      <t xml:space="preserve">消耗端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DejaVu Sans"/>
        <family val="2"/>
      </rPr>
      <t xml:space="preserve">每次操作扣點</t>
    </r>
    <r>
      <rPr>
        <b val="true"/>
        <sz val="11"/>
        <color rgb="FF000000"/>
        <rFont val="Arial"/>
        <family val="0"/>
        <charset val="1"/>
      </rPr>
      <t xml:space="preserve">)</t>
    </r>
  </si>
  <si>
    <t xml:space="preserve">操作類型</t>
  </si>
  <si>
    <t xml:space="preserve">扣點</t>
  </si>
  <si>
    <t xml:space="preserve">API route</t>
  </si>
  <si>
    <t xml:space="preserve">點數佔主占比</t>
  </si>
  <si>
    <r>
      <rPr>
        <b val="true"/>
        <sz val="11"/>
        <rFont val="DejaVu Sans"/>
        <family val="2"/>
      </rPr>
      <t xml:space="preserve">主占 </t>
    </r>
    <r>
      <rPr>
        <b val="true"/>
        <sz val="11"/>
        <rFont val="Arial"/>
        <family val="0"/>
        <charset val="1"/>
      </rPr>
      <t xml:space="preserve">DIVINE (</t>
    </r>
    <r>
      <rPr>
        <b val="true"/>
        <sz val="11"/>
        <rFont val="DejaVu Sans"/>
        <family val="2"/>
      </rPr>
      <t xml:space="preserve">易經</t>
    </r>
    <r>
      <rPr>
        <b val="true"/>
        <sz val="11"/>
        <rFont val="Arial"/>
        <family val="0"/>
        <charset val="1"/>
      </rPr>
      <t xml:space="preserve">)</t>
    </r>
  </si>
  <si>
    <t xml:space="preserve">/api/divine</t>
  </si>
  <si>
    <r>
      <rPr>
        <sz val="11"/>
        <rFont val="DejaVu Sans"/>
        <family val="2"/>
      </rPr>
      <t xml:space="preserve">六十四卦 </t>
    </r>
    <r>
      <rPr>
        <sz val="11"/>
        <rFont val="Arial"/>
        <family val="0"/>
        <charset val="1"/>
      </rPr>
      <t xml:space="preserve">+ </t>
    </r>
    <r>
      <rPr>
        <sz val="11"/>
        <rFont val="DejaVu Sans"/>
        <family val="2"/>
      </rPr>
      <t xml:space="preserve">變爻 </t>
    </r>
    <r>
      <rPr>
        <sz val="11"/>
        <rFont val="Arial"/>
        <family val="0"/>
        <charset val="1"/>
      </rPr>
      <t xml:space="preserve">+ AI </t>
    </r>
    <r>
      <rPr>
        <sz val="11"/>
        <rFont val="DejaVu Sans"/>
        <family val="2"/>
      </rPr>
      <t xml:space="preserve">解卦</t>
    </r>
  </si>
  <si>
    <r>
      <rPr>
        <b val="true"/>
        <sz val="11"/>
        <rFont val="DejaVu Sans"/>
        <family val="2"/>
      </rPr>
      <t xml:space="preserve">主占 </t>
    </r>
    <r>
      <rPr>
        <b val="true"/>
        <sz val="11"/>
        <rFont val="Arial"/>
        <family val="0"/>
        <charset val="1"/>
      </rPr>
      <t xml:space="preserve">TAROT (</t>
    </r>
    <r>
      <rPr>
        <b val="true"/>
        <sz val="11"/>
        <rFont val="DejaVu Sans"/>
        <family val="2"/>
      </rPr>
      <t xml:space="preserve">塔羅</t>
    </r>
    <r>
      <rPr>
        <b val="true"/>
        <sz val="11"/>
        <rFont val="Arial"/>
        <family val="0"/>
        <charset val="1"/>
      </rPr>
      <t xml:space="preserve">)</t>
    </r>
  </si>
  <si>
    <t xml:space="preserve">/api/tarot</t>
  </si>
  <si>
    <r>
      <rPr>
        <sz val="11"/>
        <rFont val="DejaVu Sans"/>
        <family val="2"/>
      </rPr>
      <t xml:space="preserve">三張牌陣 </t>
    </r>
    <r>
      <rPr>
        <sz val="11"/>
        <rFont val="Arial"/>
        <family val="0"/>
        <charset val="1"/>
      </rPr>
      <t xml:space="preserve">+ AI </t>
    </r>
    <r>
      <rPr>
        <sz val="11"/>
        <rFont val="DejaVu Sans"/>
        <family val="2"/>
      </rPr>
      <t xml:space="preserve">解讀</t>
    </r>
  </si>
  <si>
    <r>
      <rPr>
        <b val="true"/>
        <sz val="11"/>
        <rFont val="DejaVu Sans"/>
        <family val="2"/>
      </rPr>
      <t xml:space="preserve">衍伸占卜 </t>
    </r>
    <r>
      <rPr>
        <b val="true"/>
        <sz val="11"/>
        <rFont val="Arial"/>
        <family val="0"/>
        <charset val="1"/>
      </rPr>
      <t xml:space="preserve">FOLLOWUP</t>
    </r>
  </si>
  <si>
    <t xml:space="preserve">/api/{divine,tarot}</t>
  </si>
  <si>
    <r>
      <rPr>
        <sz val="11"/>
        <rFont val="DejaVu Sans"/>
        <family val="2"/>
      </rPr>
      <t xml:space="preserve">接續前占卜 </t>
    </r>
    <r>
      <rPr>
        <sz val="11"/>
        <rFont val="Arial"/>
        <family val="0"/>
        <charset val="1"/>
      </rPr>
      <t xml:space="preserve">context,input token </t>
    </r>
    <r>
      <rPr>
        <sz val="11"/>
        <rFont val="DejaVu Sans"/>
        <family val="2"/>
      </rPr>
      <t xml:space="preserve">較多</t>
    </r>
  </si>
  <si>
    <r>
      <rPr>
        <b val="true"/>
        <sz val="11"/>
        <rFont val="DejaVu Sans"/>
        <family val="2"/>
      </rPr>
      <t xml:space="preserve">追問 </t>
    </r>
    <r>
      <rPr>
        <b val="true"/>
        <sz val="11"/>
        <rFont val="Arial"/>
        <family val="0"/>
        <charset val="1"/>
      </rPr>
      <t xml:space="preserve">CHAT</t>
    </r>
  </si>
  <si>
    <t xml:space="preserve">/api/chat</t>
  </si>
  <si>
    <r>
      <rPr>
        <sz val="11"/>
        <rFont val="DejaVu Sans"/>
        <family val="2"/>
      </rPr>
      <t xml:space="preserve">對 </t>
    </r>
    <r>
      <rPr>
        <sz val="11"/>
        <rFont val="Arial"/>
        <family val="0"/>
        <charset val="1"/>
      </rPr>
      <t xml:space="preserve">AI </t>
    </r>
    <r>
      <rPr>
        <sz val="11"/>
        <rFont val="DejaVu Sans"/>
        <family val="2"/>
      </rPr>
      <t xml:space="preserve">老師單輪追問</t>
    </r>
    <r>
      <rPr>
        <sz val="11"/>
        <rFont val="Arial"/>
        <family val="0"/>
        <charset val="1"/>
      </rPr>
      <t xml:space="preserve">,</t>
    </r>
    <r>
      <rPr>
        <sz val="11"/>
        <rFont val="DejaVu Sans"/>
        <family val="2"/>
      </rPr>
      <t xml:space="preserve">短回覆</t>
    </r>
  </si>
  <si>
    <r>
      <rPr>
        <b val="true"/>
        <sz val="11"/>
        <color rgb="FF000000"/>
        <rFont val="DejaVu Sans"/>
        <family val="2"/>
      </rPr>
      <t xml:space="preserve">取得端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DejaVu Sans"/>
        <family val="2"/>
      </rPr>
      <t xml:space="preserve">點數如何進帳</t>
    </r>
    <r>
      <rPr>
        <b val="true"/>
        <sz val="11"/>
        <color rgb="FF000000"/>
        <rFont val="Arial"/>
        <family val="0"/>
        <charset val="1"/>
      </rPr>
      <t xml:space="preserve">)</t>
    </r>
  </si>
  <si>
    <t xml:space="preserve">來源</t>
  </si>
  <si>
    <t xml:space="preserve">點數</t>
  </si>
  <si>
    <t xml:space="preserve">頻率</t>
  </si>
  <si>
    <t xml:space="preserve">條件</t>
  </si>
  <si>
    <r>
      <rPr>
        <b val="true"/>
        <sz val="11"/>
        <rFont val="DejaVu Sans"/>
        <family val="2"/>
      </rPr>
      <t xml:space="preserve">註冊贈點 </t>
    </r>
    <r>
      <rPr>
        <b val="true"/>
        <sz val="11"/>
        <rFont val="Arial"/>
        <family val="0"/>
        <charset val="1"/>
      </rPr>
      <t xml:space="preserve">signup_bonus</t>
    </r>
  </si>
  <si>
    <t xml:space="preserve">一次性</t>
  </si>
  <si>
    <t xml:space="preserve">首次建立帳號</t>
  </si>
  <si>
    <r>
      <rPr>
        <sz val="11"/>
        <rFont val="DejaVu Sans"/>
        <family val="2"/>
      </rPr>
      <t xml:space="preserve">約 </t>
    </r>
    <r>
      <rPr>
        <sz val="11"/>
        <rFont val="Arial"/>
        <family val="0"/>
        <charset val="1"/>
      </rPr>
      <t xml:space="preserve">6 </t>
    </r>
    <r>
      <rPr>
        <sz val="11"/>
        <rFont val="DejaVu Sans"/>
        <family val="2"/>
      </rPr>
      <t xml:space="preserve">次主占</t>
    </r>
    <r>
      <rPr>
        <sz val="11"/>
        <rFont val="Arial"/>
        <family val="0"/>
        <charset val="1"/>
      </rPr>
      <t xml:space="preserve">,</t>
    </r>
    <r>
      <rPr>
        <sz val="11"/>
        <rFont val="DejaVu Sans"/>
        <family val="2"/>
      </rPr>
      <t xml:space="preserve">降低嘗試門檻</t>
    </r>
  </si>
  <si>
    <r>
      <rPr>
        <b val="true"/>
        <sz val="11"/>
        <rFont val="DejaVu Sans"/>
        <family val="2"/>
      </rPr>
      <t xml:space="preserve">訂閱補點 </t>
    </r>
    <r>
      <rPr>
        <b val="true"/>
        <sz val="11"/>
        <rFont val="Arial"/>
        <family val="0"/>
        <charset val="1"/>
      </rPr>
      <t xml:space="preserve">subscription_refill</t>
    </r>
  </si>
  <si>
    <r>
      <rPr>
        <sz val="11"/>
        <rFont val="DejaVu Sans"/>
        <family val="2"/>
      </rPr>
      <t xml:space="preserve">每月 </t>
    </r>
    <r>
      <rPr>
        <sz val="11"/>
        <rFont val="Arial"/>
        <family val="0"/>
        <charset val="1"/>
      </rPr>
      <t xml:space="preserve">1 </t>
    </r>
    <r>
      <rPr>
        <sz val="11"/>
        <rFont val="DejaVu Sans"/>
        <family val="2"/>
      </rPr>
      <t xml:space="preserve">次</t>
    </r>
  </si>
  <si>
    <r>
      <rPr>
        <sz val="11"/>
        <rFont val="DejaVu Sans"/>
        <family val="2"/>
      </rPr>
      <t xml:space="preserve">訂閱 </t>
    </r>
    <r>
      <rPr>
        <sz val="11"/>
        <rFont val="Arial"/>
        <family val="0"/>
        <charset val="1"/>
      </rPr>
      <t xml:space="preserve">active</t>
    </r>
  </si>
  <si>
    <r>
      <rPr>
        <sz val="11"/>
        <rFont val="DejaVu Sans"/>
        <family val="2"/>
      </rPr>
      <t xml:space="preserve">月訂 </t>
    </r>
    <r>
      <rPr>
        <sz val="11"/>
        <rFont val="Arial"/>
        <family val="0"/>
        <charset val="1"/>
      </rPr>
      <t xml:space="preserve">/ </t>
    </r>
    <r>
      <rPr>
        <sz val="11"/>
        <rFont val="DejaVu Sans"/>
        <family val="2"/>
      </rPr>
      <t xml:space="preserve">年訂共通</t>
    </r>
  </si>
  <si>
    <r>
      <rPr>
        <b val="true"/>
        <sz val="11"/>
        <rFont val="DejaVu Sans"/>
        <family val="2"/>
      </rPr>
      <t xml:space="preserve">購買 </t>
    </r>
    <r>
      <rPr>
        <b val="true"/>
        <sz val="11"/>
        <rFont val="Arial"/>
        <family val="0"/>
        <charset val="1"/>
      </rPr>
      <t xml:space="preserve">pack_200</t>
    </r>
  </si>
  <si>
    <t xml:space="preserve">隨購</t>
  </si>
  <si>
    <t xml:space="preserve">一次性購買</t>
  </si>
  <si>
    <t xml:space="preserve">NT$60</t>
  </si>
  <si>
    <r>
      <rPr>
        <b val="true"/>
        <sz val="11"/>
        <rFont val="DejaVu Sans"/>
        <family val="2"/>
      </rPr>
      <t xml:space="preserve">購買 </t>
    </r>
    <r>
      <rPr>
        <b val="true"/>
        <sz val="11"/>
        <rFont val="Arial"/>
        <family val="0"/>
        <charset val="1"/>
      </rPr>
      <t xml:space="preserve">pack_500</t>
    </r>
  </si>
  <si>
    <r>
      <rPr>
        <sz val="11"/>
        <rFont val="Arial"/>
        <family val="0"/>
        <charset val="1"/>
      </rPr>
      <t xml:space="preserve">NT$120(</t>
    </r>
    <r>
      <rPr>
        <sz val="11"/>
        <rFont val="DejaVu Sans"/>
        <family val="2"/>
      </rPr>
      <t xml:space="preserve">含 </t>
    </r>
    <r>
      <rPr>
        <sz val="11"/>
        <rFont val="Arial"/>
        <family val="0"/>
        <charset val="1"/>
      </rPr>
      <t xml:space="preserve">50 </t>
    </r>
    <r>
      <rPr>
        <sz val="11"/>
        <rFont val="DejaVu Sans"/>
        <family val="2"/>
      </rPr>
      <t xml:space="preserve">贈</t>
    </r>
    <r>
      <rPr>
        <sz val="11"/>
        <rFont val="Arial"/>
        <family val="0"/>
        <charset val="1"/>
      </rPr>
      <t xml:space="preserve">),</t>
    </r>
    <r>
      <rPr>
        <sz val="11"/>
        <rFont val="DejaVu Sans"/>
        <family val="2"/>
      </rPr>
      <t xml:space="preserve">主推</t>
    </r>
  </si>
  <si>
    <r>
      <rPr>
        <b val="true"/>
        <sz val="11"/>
        <rFont val="DejaVu Sans"/>
        <family val="2"/>
      </rPr>
      <t xml:space="preserve">購買 </t>
    </r>
    <r>
      <rPr>
        <b val="true"/>
        <sz val="11"/>
        <rFont val="Arial"/>
        <family val="0"/>
        <charset val="1"/>
      </rPr>
      <t xml:space="preserve">pack_1200</t>
    </r>
  </si>
  <si>
    <r>
      <rPr>
        <sz val="11"/>
        <rFont val="Arial"/>
        <family val="0"/>
        <charset val="1"/>
      </rPr>
      <t xml:space="preserve">NT$240(</t>
    </r>
    <r>
      <rPr>
        <sz val="11"/>
        <rFont val="DejaVu Sans"/>
        <family val="2"/>
      </rPr>
      <t xml:space="preserve">含 </t>
    </r>
    <r>
      <rPr>
        <sz val="11"/>
        <rFont val="Arial"/>
        <family val="0"/>
        <charset val="1"/>
      </rPr>
      <t xml:space="preserve">200 </t>
    </r>
    <r>
      <rPr>
        <sz val="11"/>
        <rFont val="DejaVu Sans"/>
        <family val="2"/>
      </rPr>
      <t xml:space="preserve">贈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</si>
  <si>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rFont val="DejaVu Sans"/>
        <family val="2"/>
      </rPr>
      <t xml:space="preserve">錯誤退點 </t>
    </r>
    <r>
      <rPr>
        <b val="true"/>
        <sz val="11"/>
        <rFont val="Arial"/>
        <family val="0"/>
        <charset val="1"/>
      </rPr>
      <t xml:space="preserve">refund_api_error</t>
    </r>
  </si>
  <si>
    <t xml:space="preserve">扣多少退多少</t>
  </si>
  <si>
    <t xml:space="preserve">自動</t>
  </si>
  <si>
    <t xml:space="preserve">DeepSeek API fail</t>
  </si>
  <si>
    <r>
      <rPr>
        <sz val="11"/>
        <rFont val="DejaVu Sans"/>
        <family val="2"/>
      </rPr>
      <t xml:space="preserve">原子 </t>
    </r>
    <r>
      <rPr>
        <sz val="11"/>
        <rFont val="Arial"/>
        <family val="0"/>
        <charset val="1"/>
      </rPr>
      <t xml:space="preserve">refund,</t>
    </r>
    <r>
      <rPr>
        <sz val="11"/>
        <rFont val="DejaVu Sans"/>
        <family val="2"/>
      </rPr>
      <t xml:space="preserve">不需人工</t>
    </r>
  </si>
  <si>
    <t xml:space="preserve">設計原則</t>
  </si>
  <si>
    <t xml:space="preserve">•</t>
  </si>
  <si>
    <r>
      <rPr>
        <sz val="11"/>
        <rFont val="DejaVu Sans"/>
        <family val="2"/>
      </rPr>
      <t xml:space="preserve">原子扣點</t>
    </r>
    <r>
      <rPr>
        <sz val="11"/>
        <rFont val="Arial"/>
        <family val="0"/>
        <charset val="1"/>
      </rPr>
      <t xml:space="preserve">:Postgres function + SERVICE_ROLE,</t>
    </r>
    <r>
      <rPr>
        <sz val="11"/>
        <rFont val="DejaVu Sans"/>
        <family val="2"/>
      </rPr>
      <t xml:space="preserve">前端無法繞過</t>
    </r>
  </si>
  <si>
    <r>
      <rPr>
        <sz val="11"/>
        <rFont val="DejaVu Sans"/>
        <family val="2"/>
      </rPr>
      <t xml:space="preserve">餘額不足 → 回 </t>
    </r>
    <r>
      <rPr>
        <sz val="11"/>
        <rFont val="Arial"/>
        <family val="0"/>
        <charset val="1"/>
      </rPr>
      <t xml:space="preserve">HTTP 402 + </t>
    </r>
    <r>
      <rPr>
        <sz val="11"/>
        <rFont val="DejaVu Sans"/>
        <family val="2"/>
      </rPr>
      <t xml:space="preserve">打開 </t>
    </r>
    <r>
      <rPr>
        <sz val="11"/>
        <rFont val="Arial"/>
        <family val="0"/>
        <charset val="1"/>
      </rPr>
      <t xml:space="preserve">InsufficientCreditsModal</t>
    </r>
  </si>
  <si>
    <r>
      <rPr>
        <sz val="11"/>
        <rFont val="DejaVu Sans"/>
        <family val="2"/>
      </rPr>
      <t xml:space="preserve">訪客</t>
    </r>
    <r>
      <rPr>
        <sz val="11"/>
        <rFont val="Arial"/>
        <family val="0"/>
        <charset val="1"/>
      </rPr>
      <t xml:space="preserve">(</t>
    </r>
    <r>
      <rPr>
        <sz val="11"/>
        <rFont val="DejaVu Sans"/>
        <family val="2"/>
      </rPr>
      <t xml:space="preserve">未登入</t>
    </r>
    <r>
      <rPr>
        <sz val="11"/>
        <rFont val="Arial"/>
        <family val="0"/>
        <charset val="1"/>
      </rPr>
      <t xml:space="preserve">)</t>
    </r>
    <r>
      <rPr>
        <sz val="11"/>
        <rFont val="DejaVu Sans"/>
        <family val="2"/>
      </rPr>
      <t xml:space="preserve">不扣點</t>
    </r>
    <r>
      <rPr>
        <sz val="11"/>
        <rFont val="Arial"/>
        <family val="0"/>
        <charset val="1"/>
      </rPr>
      <t xml:space="preserve">,</t>
    </r>
    <r>
      <rPr>
        <sz val="11"/>
        <rFont val="DejaVu Sans"/>
        <family val="2"/>
      </rPr>
      <t xml:space="preserve">但有 </t>
    </r>
    <r>
      <rPr>
        <sz val="11"/>
        <rFont val="Arial"/>
        <family val="0"/>
        <charset val="1"/>
      </rPr>
      <t xml:space="preserve">2 </t>
    </r>
    <r>
      <rPr>
        <sz val="11"/>
        <rFont val="DejaVu Sans"/>
        <family val="2"/>
      </rPr>
      <t xml:space="preserve">次免費占卜 </t>
    </r>
    <r>
      <rPr>
        <sz val="11"/>
        <rFont val="Arial"/>
        <family val="0"/>
        <charset val="1"/>
      </rPr>
      <t xml:space="preserve">localStorage quota,</t>
    </r>
    <r>
      <rPr>
        <sz val="11"/>
        <rFont val="DejaVu Sans"/>
        <family val="2"/>
      </rPr>
      <t xml:space="preserve">且不得衍伸</t>
    </r>
  </si>
  <si>
    <r>
      <rPr>
        <sz val="11"/>
        <rFont val="Arial"/>
        <family val="0"/>
        <charset val="1"/>
      </rPr>
      <t xml:space="preserve">DeepSeek </t>
    </r>
    <r>
      <rPr>
        <sz val="11"/>
        <rFont val="DejaVu Sans"/>
        <family val="2"/>
      </rPr>
      <t xml:space="preserve">呼叫失敗自動 </t>
    </r>
    <r>
      <rPr>
        <sz val="11"/>
        <rFont val="Arial"/>
        <family val="0"/>
        <charset val="1"/>
      </rPr>
      <t xml:space="preserve">refund(refund_credits RPC)</t>
    </r>
  </si>
  <si>
    <r>
      <rPr>
        <sz val="11"/>
        <rFont val="DejaVu Sans"/>
        <family val="2"/>
      </rPr>
      <t xml:space="preserve">所有點數異動寫入 </t>
    </r>
    <r>
      <rPr>
        <sz val="11"/>
        <rFont val="Arial"/>
        <family val="0"/>
        <charset val="1"/>
      </rPr>
      <t xml:space="preserve">credit_transactions </t>
    </r>
    <r>
      <rPr>
        <sz val="11"/>
        <rFont val="DejaVu Sans"/>
        <family val="2"/>
      </rPr>
      <t xml:space="preserve">表</t>
    </r>
    <r>
      <rPr>
        <sz val="11"/>
        <rFont val="Arial"/>
        <family val="0"/>
        <charset val="1"/>
      </rPr>
      <t xml:space="preserve">,</t>
    </r>
    <r>
      <rPr>
        <sz val="11"/>
        <rFont val="DejaVu Sans"/>
        <family val="2"/>
      </rPr>
      <t xml:space="preserve">可追溯</t>
    </r>
  </si>
  <si>
    <r>
      <rPr>
        <b val="true"/>
        <sz val="11"/>
        <color rgb="FFFFFFFF"/>
        <rFont val="DejaVu Sans"/>
        <family val="2"/>
      </rPr>
      <t xml:space="preserve">定價方案明細</t>
    </r>
    <r>
      <rPr>
        <b val="true"/>
        <sz val="11"/>
        <color rgb="FFFFFFFF"/>
        <rFont val="Arial"/>
        <family val="0"/>
        <charset val="1"/>
      </rPr>
      <t xml:space="preserve">(lib/pricing.ts)</t>
    </r>
  </si>
  <si>
    <r>
      <rPr>
        <b val="true"/>
        <sz val="11"/>
        <color rgb="FF000000"/>
        <rFont val="Arial"/>
        <family val="0"/>
        <charset val="1"/>
      </rPr>
      <t xml:space="preserve">A. </t>
    </r>
    <r>
      <rPr>
        <b val="true"/>
        <sz val="11"/>
        <color rgb="FF000000"/>
        <rFont val="DejaVu Sans"/>
        <family val="2"/>
      </rPr>
      <t xml:space="preserve">點數包 </t>
    </r>
    <r>
      <rPr>
        <b val="true"/>
        <sz val="11"/>
        <color rgb="FF000000"/>
        <rFont val="Arial"/>
        <family val="0"/>
        <charset val="1"/>
      </rPr>
      <t xml:space="preserve">Credit Packs</t>
    </r>
  </si>
  <si>
    <r>
      <rPr>
        <b val="true"/>
        <sz val="11"/>
        <color rgb="FFFFFFFF"/>
        <rFont val="DejaVu Sans"/>
        <family val="2"/>
      </rPr>
      <t xml:space="preserve">方案 </t>
    </r>
    <r>
      <rPr>
        <b val="true"/>
        <sz val="11"/>
        <color rgb="FFFFFFFF"/>
        <rFont val="Arial"/>
        <family val="0"/>
        <charset val="1"/>
      </rPr>
      <t xml:space="preserve">ID</t>
    </r>
  </si>
  <si>
    <r>
      <rPr>
        <b val="true"/>
        <sz val="11"/>
        <color rgb="FFFFFFFF"/>
        <rFont val="DejaVu Sans"/>
        <family val="2"/>
      </rPr>
      <t xml:space="preserve">售價 </t>
    </r>
    <r>
      <rPr>
        <b val="true"/>
        <sz val="11"/>
        <color rgb="FFFFFFFF"/>
        <rFont val="Arial"/>
        <family val="0"/>
        <charset val="1"/>
      </rPr>
      <t xml:space="preserve">NT$</t>
    </r>
  </si>
  <si>
    <t xml:space="preserve">基礎點數</t>
  </si>
  <si>
    <t xml:space="preserve">贈點</t>
  </si>
  <si>
    <t xml:space="preserve">總點數</t>
  </si>
  <si>
    <t xml:space="preserve">單點售價</t>
  </si>
  <si>
    <t xml:space="preserve">可占卜主占次數</t>
  </si>
  <si>
    <t xml:space="preserve">定位</t>
  </si>
  <si>
    <t xml:space="preserve">pack_200</t>
  </si>
  <si>
    <t xml:space="preserve">小額試水</t>
  </si>
  <si>
    <t xml:space="preserve">pack_500 ★</t>
  </si>
  <si>
    <t xml:space="preserve">主推甜蜜點</t>
  </si>
  <si>
    <t xml:space="preserve">pack_1200</t>
  </si>
  <si>
    <t xml:space="preserve">重度用戶大包</t>
  </si>
  <si>
    <r>
      <rPr>
        <b val="true"/>
        <sz val="11"/>
        <color rgb="FF000000"/>
        <rFont val="Arial"/>
        <family val="0"/>
        <charset val="1"/>
      </rPr>
      <t xml:space="preserve">B. </t>
    </r>
    <r>
      <rPr>
        <b val="true"/>
        <sz val="11"/>
        <color rgb="FF000000"/>
        <rFont val="DejaVu Sans"/>
        <family val="2"/>
      </rPr>
      <t xml:space="preserve">訂閱 </t>
    </r>
    <r>
      <rPr>
        <b val="true"/>
        <sz val="11"/>
        <color rgb="FF000000"/>
        <rFont val="Arial"/>
        <family val="0"/>
        <charset val="1"/>
      </rPr>
      <t xml:space="preserve">Subscription</t>
    </r>
  </si>
  <si>
    <t xml:space="preserve">週期</t>
  </si>
  <si>
    <t xml:space="preserve">月攤售價</t>
  </si>
  <si>
    <t xml:space="preserve">每月補點</t>
  </si>
  <si>
    <t xml:space="preserve">年化支出</t>
  </si>
  <si>
    <t xml:space="preserve">monthly</t>
  </si>
  <si>
    <t xml:space="preserve">每月</t>
  </si>
  <si>
    <t xml:space="preserve">彈性入口</t>
  </si>
  <si>
    <t xml:space="preserve">yearly ★</t>
  </si>
  <si>
    <t xml:space="preserve">每年</t>
  </si>
  <si>
    <r>
      <rPr>
        <sz val="11"/>
        <rFont val="DejaVu Sans"/>
        <family val="2"/>
      </rPr>
      <t xml:space="preserve">省 </t>
    </r>
    <r>
      <rPr>
        <sz val="11"/>
        <rFont val="Arial"/>
        <family val="0"/>
        <charset val="1"/>
      </rPr>
      <t xml:space="preserve">20% · </t>
    </r>
    <r>
      <rPr>
        <sz val="11"/>
        <rFont val="DejaVu Sans"/>
        <family val="2"/>
      </rPr>
      <t xml:space="preserve">主推</t>
    </r>
  </si>
  <si>
    <r>
      <rPr>
        <b val="true"/>
        <sz val="11"/>
        <color rgb="FF000000"/>
        <rFont val="Arial"/>
        <family val="0"/>
        <charset val="1"/>
      </rPr>
      <t xml:space="preserve">C. </t>
    </r>
    <r>
      <rPr>
        <b val="true"/>
        <sz val="11"/>
        <color rgb="FF000000"/>
        <rFont val="DejaVu Sans"/>
        <family val="2"/>
      </rPr>
      <t xml:space="preserve">各方案單點售價比較</t>
    </r>
  </si>
  <si>
    <t xml:space="preserve">方案</t>
  </si>
  <si>
    <r>
      <rPr>
        <b val="true"/>
        <sz val="11"/>
        <color rgb="FFFFFFFF"/>
        <rFont val="DejaVu Sans"/>
        <family val="2"/>
      </rPr>
      <t xml:space="preserve">單點售價 </t>
    </r>
    <r>
      <rPr>
        <b val="true"/>
        <sz val="11"/>
        <color rgb="FFFFFFFF"/>
        <rFont val="Arial"/>
        <family val="0"/>
        <charset val="1"/>
      </rPr>
      <t xml:space="preserve">(NT$)</t>
    </r>
  </si>
  <si>
    <t xml:space="preserve">相對最貴</t>
  </si>
  <si>
    <t xml:space="preserve">月訂閱</t>
  </si>
  <si>
    <t xml:space="preserve">年訂閱 ★</t>
  </si>
  <si>
    <t xml:space="preserve">分層權益對照表</t>
  </si>
  <si>
    <t xml:space="preserve">權益項目</t>
  </si>
  <si>
    <t xml:space="preserve">訪客</t>
  </si>
  <si>
    <t xml:space="preserve">註冊戶</t>
  </si>
  <si>
    <t xml:space="preserve">點數戶</t>
  </si>
  <si>
    <t xml:space="preserve">訂閱戶</t>
  </si>
  <si>
    <t xml:space="preserve">備註</t>
  </si>
  <si>
    <t xml:space="preserve">易經主占</t>
  </si>
  <si>
    <r>
      <rPr>
        <sz val="11"/>
        <rFont val="Arial"/>
        <family val="0"/>
        <charset val="1"/>
      </rPr>
      <t xml:space="preserve">2 </t>
    </r>
    <r>
      <rPr>
        <sz val="11"/>
        <rFont val="DejaVu Sans"/>
        <family val="2"/>
      </rPr>
      <t xml:space="preserve">次</t>
    </r>
  </si>
  <si>
    <t xml:space="preserve">✓</t>
  </si>
  <si>
    <r>
      <rPr>
        <sz val="11"/>
        <rFont val="DejaVu Sans"/>
        <family val="2"/>
      </rPr>
      <t xml:space="preserve">訪客靠 </t>
    </r>
    <r>
      <rPr>
        <sz val="11"/>
        <rFont val="Arial"/>
        <family val="0"/>
        <charset val="1"/>
      </rPr>
      <t xml:space="preserve">localStorage quota</t>
    </r>
  </si>
  <si>
    <t xml:space="preserve">塔羅主占</t>
  </si>
  <si>
    <t xml:space="preserve">同上</t>
  </si>
  <si>
    <t xml:space="preserve">衍伸占卜</t>
  </si>
  <si>
    <t xml:space="preserve">✗</t>
  </si>
  <si>
    <r>
      <rPr>
        <sz val="11"/>
        <rFont val="DejaVu Sans"/>
        <family val="2"/>
      </rPr>
      <t xml:space="preserve">✓ 扣 </t>
    </r>
    <r>
      <rPr>
        <sz val="11"/>
        <rFont val="Arial"/>
        <family val="0"/>
        <charset val="1"/>
      </rPr>
      <t xml:space="preserve">10 </t>
    </r>
    <r>
      <rPr>
        <sz val="11"/>
        <rFont val="DejaVu Sans"/>
        <family val="2"/>
      </rPr>
      <t xml:space="preserve">點</t>
    </r>
  </si>
  <si>
    <t xml:space="preserve">需登入</t>
  </si>
  <si>
    <r>
      <rPr>
        <sz val="11"/>
        <rFont val="DejaVu Sans"/>
        <family val="2"/>
      </rPr>
      <t xml:space="preserve">✓ 扣 </t>
    </r>
    <r>
      <rPr>
        <sz val="11"/>
        <rFont val="Arial"/>
        <family val="0"/>
        <charset val="1"/>
      </rPr>
      <t xml:space="preserve">1 </t>
    </r>
    <r>
      <rPr>
        <sz val="11"/>
        <rFont val="DejaVu Sans"/>
        <family val="2"/>
      </rPr>
      <t xml:space="preserve">點</t>
    </r>
  </si>
  <si>
    <t xml:space="preserve">占卜紀錄雲端同步</t>
  </si>
  <si>
    <t xml:space="preserve">登入後自動同步</t>
  </si>
  <si>
    <r>
      <rPr>
        <b val="true"/>
        <sz val="11"/>
        <rFont val="DejaVu Sans"/>
        <family val="2"/>
      </rPr>
      <t xml:space="preserve">每月 </t>
    </r>
    <r>
      <rPr>
        <b val="true"/>
        <sz val="11"/>
        <rFont val="Arial"/>
        <family val="0"/>
        <charset val="1"/>
      </rPr>
      <t xml:space="preserve">600 </t>
    </r>
    <r>
      <rPr>
        <b val="true"/>
        <sz val="11"/>
        <rFont val="DejaVu Sans"/>
        <family val="2"/>
      </rPr>
      <t xml:space="preserve">點自動補</t>
    </r>
  </si>
  <si>
    <t xml:space="preserve">訂閱專屬</t>
  </si>
  <si>
    <t xml:space="preserve">詳細爻辭解析</t>
  </si>
  <si>
    <t xml:space="preserve">分享圖無浮水印</t>
  </si>
  <si>
    <t xml:space="preserve">有浮水印</t>
  </si>
  <si>
    <r>
      <rPr>
        <b val="true"/>
        <sz val="11"/>
        <rFont val="DejaVu Sans"/>
        <family val="2"/>
      </rPr>
      <t xml:space="preserve">開運物品 </t>
    </r>
    <r>
      <rPr>
        <b val="true"/>
        <sz val="11"/>
        <rFont val="Arial"/>
        <family val="0"/>
        <charset val="1"/>
      </rPr>
      <t xml:space="preserve">7 </t>
    </r>
    <r>
      <rPr>
        <b val="true"/>
        <sz val="11"/>
        <rFont val="DejaVu Sans"/>
        <family val="2"/>
      </rPr>
      <t xml:space="preserve">折</t>
    </r>
  </si>
  <si>
    <t xml:space="preserve">未來商店接入</t>
  </si>
  <si>
    <r>
      <rPr>
        <b val="true"/>
        <sz val="11"/>
        <rFont val="DejaVu Sans"/>
        <family val="2"/>
      </rPr>
      <t xml:space="preserve">註冊贈點 </t>
    </r>
    <r>
      <rPr>
        <b val="true"/>
        <sz val="11"/>
        <rFont val="Arial"/>
        <family val="0"/>
        <charset val="1"/>
      </rPr>
      <t xml:space="preserve">30 </t>
    </r>
    <r>
      <rPr>
        <b val="true"/>
        <sz val="11"/>
        <rFont val="DejaVu Sans"/>
        <family val="2"/>
      </rPr>
      <t xml:space="preserve">點</t>
    </r>
  </si>
  <si>
    <t xml:space="preserve">—</t>
  </si>
  <si>
    <t xml:space="preserve">signup_bonus</t>
  </si>
  <si>
    <r>
      <rPr>
        <b val="true"/>
        <sz val="11"/>
        <color rgb="FFFFFFFF"/>
        <rFont val="DejaVu Sans"/>
        <family val="2"/>
      </rPr>
      <t xml:space="preserve">單位經濟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每筆操作的成本與毛利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</si>
  <si>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000000"/>
        <rFont val="Arial"/>
        <family val="0"/>
        <charset val="1"/>
      </rPr>
      <t xml:space="preserve">AI </t>
    </r>
    <r>
      <rPr>
        <b val="true"/>
        <sz val="11"/>
        <color rgb="FF000000"/>
        <rFont val="DejaVu Sans"/>
        <family val="2"/>
      </rPr>
      <t xml:space="preserve">成本假設</t>
    </r>
    <r>
      <rPr>
        <b val="true"/>
        <sz val="11"/>
        <color rgb="FF000000"/>
        <rFont val="Arial"/>
        <family val="0"/>
        <charset val="1"/>
      </rPr>
      <t xml:space="preserve">(DeepSeek-chat, USD→TWD 32)</t>
    </r>
  </si>
  <si>
    <t xml:space="preserve">Input / 1M tokens</t>
  </si>
  <si>
    <t xml:space="preserve">Output / 1M tokens</t>
  </si>
  <si>
    <r>
      <rPr>
        <i val="true"/>
        <sz val="9"/>
        <color rgb="FF595959"/>
        <rFont val="Arial"/>
        <family val="0"/>
        <charset val="1"/>
      </rPr>
      <t xml:space="preserve">cache miss </t>
    </r>
    <r>
      <rPr>
        <i val="true"/>
        <sz val="9"/>
        <color rgb="FF595959"/>
        <rFont val="DejaVu Sans"/>
        <family val="2"/>
      </rPr>
      <t xml:space="preserve">定價</t>
    </r>
  </si>
  <si>
    <r>
      <rPr>
        <b val="true"/>
        <sz val="11"/>
        <color rgb="FF000000"/>
        <rFont val="DejaVu Sans"/>
        <family val="2"/>
      </rPr>
      <t xml:space="preserve">每次操作成本與毛利 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DejaVu Sans"/>
        <family val="2"/>
      </rPr>
      <t xml:space="preserve">以 </t>
    </r>
    <r>
      <rPr>
        <b val="true"/>
        <sz val="11"/>
        <color rgb="FF000000"/>
        <rFont val="Arial"/>
        <family val="0"/>
        <charset val="1"/>
      </rPr>
      <t xml:space="preserve">pack_500 </t>
    </r>
    <r>
      <rPr>
        <b val="true"/>
        <sz val="11"/>
        <color rgb="FF000000"/>
        <rFont val="DejaVu Sans"/>
        <family val="2"/>
      </rPr>
      <t xml:space="preserve">單點 </t>
    </r>
    <r>
      <rPr>
        <b val="true"/>
        <sz val="11"/>
        <color rgb="FF000000"/>
        <rFont val="Arial"/>
        <family val="0"/>
        <charset val="1"/>
      </rPr>
      <t xml:space="preserve">NT$0.218 </t>
    </r>
    <r>
      <rPr>
        <b val="true"/>
        <sz val="11"/>
        <color rgb="FF000000"/>
        <rFont val="DejaVu Sans"/>
        <family val="2"/>
      </rPr>
      <t xml:space="preserve">計</t>
    </r>
    <r>
      <rPr>
        <b val="true"/>
        <sz val="11"/>
        <color rgb="FF000000"/>
        <rFont val="Arial"/>
        <family val="0"/>
        <charset val="1"/>
      </rPr>
      <t xml:space="preserve">)</t>
    </r>
  </si>
  <si>
    <t xml:space="preserve">操作</t>
  </si>
  <si>
    <t xml:space="preserve">售價</t>
  </si>
  <si>
    <t xml:space="preserve">Input tok</t>
  </si>
  <si>
    <t xml:space="preserve">Output tok</t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</si>
  <si>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DejaVu Sans"/>
        <family val="2"/>
      </rPr>
      <t xml:space="preserve">成本</t>
    </r>
  </si>
  <si>
    <t xml:space="preserve">毛利</t>
  </si>
  <si>
    <t xml:space="preserve">毛利率</t>
  </si>
  <si>
    <r>
      <rPr>
        <b val="true"/>
        <sz val="11"/>
        <rFont val="DejaVu Sans"/>
        <family val="2"/>
      </rPr>
      <t xml:space="preserve">主占 </t>
    </r>
    <r>
      <rPr>
        <b val="true"/>
        <sz val="11"/>
        <rFont val="Arial"/>
        <family val="0"/>
        <charset val="1"/>
      </rPr>
      <t xml:space="preserve">DIVINE</t>
    </r>
  </si>
  <si>
    <r>
      <rPr>
        <b val="true"/>
        <sz val="11"/>
        <rFont val="DejaVu Sans"/>
        <family val="2"/>
      </rPr>
      <t xml:space="preserve">主占 </t>
    </r>
    <r>
      <rPr>
        <b val="true"/>
        <sz val="11"/>
        <rFont val="Arial"/>
        <family val="0"/>
        <charset val="1"/>
      </rPr>
      <t xml:space="preserve">TAROT</t>
    </r>
  </si>
  <si>
    <r>
      <rPr>
        <b val="true"/>
        <sz val="11"/>
        <rFont val="DejaVu Sans"/>
        <family val="2"/>
      </rPr>
      <t xml:space="preserve">衍伸 </t>
    </r>
    <r>
      <rPr>
        <b val="true"/>
        <sz val="11"/>
        <rFont val="Arial"/>
        <family val="0"/>
        <charset val="1"/>
      </rPr>
      <t xml:space="preserve">FOLLOWUP</t>
    </r>
  </si>
  <si>
    <r>
      <rPr>
        <b val="true"/>
        <sz val="11"/>
        <color rgb="FF000000"/>
        <rFont val="DejaVu Sans"/>
        <family val="2"/>
      </rPr>
      <t xml:space="preserve">訂閱單位經濟 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DejaVu Sans"/>
        <family val="2"/>
      </rPr>
      <t xml:space="preserve">月訂戶用滿 </t>
    </r>
    <r>
      <rPr>
        <b val="true"/>
        <sz val="11"/>
        <color rgb="FF000000"/>
        <rFont val="Arial"/>
        <family val="0"/>
        <charset val="1"/>
      </rPr>
      <t xml:space="preserve">600 </t>
    </r>
    <r>
      <rPr>
        <b val="true"/>
        <sz val="11"/>
        <color rgb="FF000000"/>
        <rFont val="DejaVu Sans"/>
        <family val="2"/>
      </rPr>
      <t xml:space="preserve">點的極端情境</t>
    </r>
    <r>
      <rPr>
        <b val="true"/>
        <sz val="11"/>
        <color rgb="FF000000"/>
        <rFont val="Arial"/>
        <family val="0"/>
        <charset val="1"/>
      </rPr>
      <t xml:space="preserve">)</t>
    </r>
  </si>
  <si>
    <t xml:space="preserve">月收入</t>
  </si>
  <si>
    <r>
      <rPr>
        <b val="true"/>
        <sz val="11"/>
        <color rgb="FFFFFFFF"/>
        <rFont val="DejaVu Sans"/>
        <family val="2"/>
      </rPr>
      <t xml:space="preserve">用滿 </t>
    </r>
    <r>
      <rPr>
        <b val="true"/>
        <sz val="11"/>
        <color rgb="FFFFFFFF"/>
        <rFont val="Arial"/>
        <family val="0"/>
        <charset val="1"/>
      </rPr>
      <t xml:space="preserve">600 </t>
    </r>
    <r>
      <rPr>
        <b val="true"/>
        <sz val="11"/>
        <color rgb="FFFFFFFF"/>
        <rFont val="DejaVu Sans"/>
        <family val="2"/>
      </rPr>
      <t xml:space="preserve">點 </t>
    </r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DejaVu Sans"/>
        <family val="2"/>
      </rPr>
      <t xml:space="preserve">成本</t>
    </r>
  </si>
  <si>
    <r>
      <rPr>
        <b val="true"/>
        <sz val="11"/>
        <rFont val="DejaVu Sans"/>
        <family val="2"/>
      </rPr>
      <t xml:space="preserve">月訂 </t>
    </r>
    <r>
      <rPr>
        <b val="true"/>
        <sz val="11"/>
        <rFont val="Arial"/>
        <family val="0"/>
        <charset val="1"/>
      </rPr>
      <t xml:space="preserve">NT$150</t>
    </r>
  </si>
  <si>
    <r>
      <rPr>
        <sz val="11"/>
        <rFont val="DejaVu Sans"/>
        <family val="2"/>
      </rPr>
      <t xml:space="preserve">實際用戶多數用不滿 </t>
    </r>
    <r>
      <rPr>
        <sz val="11"/>
        <rFont val="Arial"/>
        <family val="0"/>
        <charset val="1"/>
      </rPr>
      <t xml:space="preserve">600 </t>
    </r>
    <r>
      <rPr>
        <sz val="11"/>
        <rFont val="DejaVu Sans"/>
        <family val="2"/>
      </rPr>
      <t xml:space="preserve">點 </t>
    </r>
    <r>
      <rPr>
        <sz val="11"/>
        <rFont val="Arial"/>
        <family val="0"/>
        <charset val="1"/>
      </rPr>
      <t xml:space="preserve">= </t>
    </r>
    <r>
      <rPr>
        <sz val="11"/>
        <rFont val="DejaVu Sans"/>
        <family val="2"/>
      </rPr>
      <t xml:space="preserve">額外淨利</t>
    </r>
  </si>
  <si>
    <r>
      <rPr>
        <b val="true"/>
        <sz val="11"/>
        <rFont val="DejaVu Sans"/>
        <family val="2"/>
      </rPr>
      <t xml:space="preserve">年訂 </t>
    </r>
    <r>
      <rPr>
        <b val="true"/>
        <sz val="11"/>
        <rFont val="Arial"/>
        <family val="0"/>
        <charset val="1"/>
      </rPr>
      <t xml:space="preserve">NT$1,440 (</t>
    </r>
    <r>
      <rPr>
        <b val="true"/>
        <sz val="11"/>
        <rFont val="DejaVu Sans"/>
        <family val="2"/>
      </rPr>
      <t xml:space="preserve">折月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</si>
  <si>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DejaVu Sans"/>
        <family val="2"/>
      </rPr>
      <t xml:space="preserve">年訂省 </t>
    </r>
    <r>
      <rPr>
        <sz val="11"/>
        <rFont val="Arial"/>
        <family val="0"/>
        <charset val="1"/>
      </rPr>
      <t xml:space="preserve">20%,</t>
    </r>
    <r>
      <rPr>
        <sz val="11"/>
        <rFont val="DejaVu Sans"/>
        <family val="2"/>
      </rPr>
      <t xml:space="preserve">毛利率略低但承諾期長</t>
    </r>
  </si>
  <si>
    <r>
      <rPr>
        <b val="true"/>
        <sz val="11"/>
        <color rgb="FFFFFFFF"/>
        <rFont val="DejaVu Sans"/>
        <family val="2"/>
      </rPr>
      <t xml:space="preserve">用戶轉換漏斗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預期基準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</si>
  <si>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階段</t>
  </si>
  <si>
    <t xml:space="preserve">人數</t>
  </si>
  <si>
    <t xml:space="preserve">→ 下一階段轉換率</t>
  </si>
  <si>
    <r>
      <rPr>
        <b val="true"/>
        <sz val="11"/>
        <rFont val="Arial"/>
        <family val="0"/>
        <charset val="1"/>
      </rPr>
      <t xml:space="preserve">1. </t>
    </r>
    <r>
      <rPr>
        <b val="true"/>
        <sz val="11"/>
        <rFont val="DejaVu Sans"/>
        <family val="2"/>
      </rPr>
      <t xml:space="preserve">月 </t>
    </r>
    <r>
      <rPr>
        <b val="true"/>
        <sz val="11"/>
        <rFont val="Arial"/>
        <family val="0"/>
        <charset val="1"/>
      </rPr>
      <t xml:space="preserve">UV (</t>
    </r>
    <r>
      <rPr>
        <b val="true"/>
        <sz val="11"/>
        <rFont val="DejaVu Sans"/>
        <family val="2"/>
      </rPr>
      <t xml:space="preserve">訪客到站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</si>
  <si>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SEO / </t>
    </r>
    <r>
      <rPr>
        <sz val="11"/>
        <rFont val="DejaVu Sans"/>
        <family val="2"/>
      </rPr>
      <t xml:space="preserve">社群 </t>
    </r>
    <r>
      <rPr>
        <sz val="11"/>
        <rFont val="Arial"/>
        <family val="0"/>
        <charset val="1"/>
      </rPr>
      <t xml:space="preserve">/ </t>
    </r>
    <r>
      <rPr>
        <sz val="11"/>
        <rFont val="DejaVu Sans"/>
        <family val="2"/>
      </rPr>
      <t xml:space="preserve">轉介導流</t>
    </r>
  </si>
  <si>
    <r>
      <rPr>
        <b val="true"/>
        <sz val="11"/>
        <rFont val="Arial"/>
        <family val="0"/>
        <charset val="1"/>
      </rPr>
      <t xml:space="preserve">2. </t>
    </r>
    <r>
      <rPr>
        <b val="true"/>
        <sz val="11"/>
        <rFont val="DejaVu Sans"/>
        <family val="2"/>
      </rPr>
      <t xml:space="preserve">啟動占卜</t>
    </r>
  </si>
  <si>
    <t xml:space="preserve">點了「開始占卜」按鈕</t>
  </si>
  <si>
    <r>
      <rPr>
        <b val="true"/>
        <sz val="11"/>
        <rFont val="Arial"/>
        <family val="0"/>
        <charset val="1"/>
      </rPr>
      <t xml:space="preserve">3. </t>
    </r>
    <r>
      <rPr>
        <b val="true"/>
        <sz val="11"/>
        <rFont val="DejaVu Sans"/>
        <family val="2"/>
      </rPr>
      <t xml:space="preserve">完成首次占卜</t>
    </r>
  </si>
  <si>
    <r>
      <rPr>
        <sz val="11"/>
        <rFont val="DejaVu Sans"/>
        <family val="2"/>
      </rPr>
      <t xml:space="preserve">看到 </t>
    </r>
    <r>
      <rPr>
        <sz val="11"/>
        <rFont val="Arial"/>
        <family val="0"/>
        <charset val="1"/>
      </rPr>
      <t xml:space="preserve">AI </t>
    </r>
    <r>
      <rPr>
        <sz val="11"/>
        <rFont val="DejaVu Sans"/>
        <family val="2"/>
      </rPr>
      <t xml:space="preserve">解讀完成</t>
    </r>
  </si>
  <si>
    <r>
      <rPr>
        <b val="true"/>
        <sz val="11"/>
        <rFont val="Arial"/>
        <family val="0"/>
        <charset val="1"/>
      </rPr>
      <t xml:space="preserve">4. </t>
    </r>
    <r>
      <rPr>
        <b val="true"/>
        <sz val="11"/>
        <rFont val="DejaVu Sans"/>
        <family val="2"/>
      </rPr>
      <t xml:space="preserve">註冊</t>
    </r>
  </si>
  <si>
    <r>
      <rPr>
        <sz val="11"/>
        <rFont val="DejaVu Sans"/>
        <family val="2"/>
      </rPr>
      <t xml:space="preserve">用完 </t>
    </r>
    <r>
      <rPr>
        <sz val="11"/>
        <rFont val="Arial"/>
        <family val="0"/>
        <charset val="1"/>
      </rPr>
      <t xml:space="preserve">2 </t>
    </r>
    <r>
      <rPr>
        <sz val="11"/>
        <rFont val="DejaVu Sans"/>
        <family val="2"/>
      </rPr>
      <t xml:space="preserve">次訪客額度或想存紀錄</t>
    </r>
  </si>
  <si>
    <r>
      <rPr>
        <b val="true"/>
        <sz val="11"/>
        <rFont val="Arial"/>
        <family val="0"/>
        <charset val="1"/>
      </rPr>
      <t xml:space="preserve">5. </t>
    </r>
    <r>
      <rPr>
        <b val="true"/>
        <sz val="11"/>
        <rFont val="DejaVu Sans"/>
        <family val="2"/>
      </rPr>
      <t xml:space="preserve">用完註冊贈點</t>
    </r>
  </si>
  <si>
    <r>
      <rPr>
        <sz val="11"/>
        <rFont val="Arial"/>
        <family val="0"/>
        <charset val="1"/>
      </rPr>
      <t xml:space="preserve">30 </t>
    </r>
    <r>
      <rPr>
        <sz val="11"/>
        <rFont val="DejaVu Sans"/>
        <family val="2"/>
      </rPr>
      <t xml:space="preserve">點 </t>
    </r>
    <r>
      <rPr>
        <sz val="11"/>
        <rFont val="Arial"/>
        <family val="0"/>
        <charset val="1"/>
      </rPr>
      <t xml:space="preserve">= 6 </t>
    </r>
    <r>
      <rPr>
        <sz val="11"/>
        <rFont val="DejaVu Sans"/>
        <family val="2"/>
      </rPr>
      <t xml:space="preserve">次主占用完</t>
    </r>
  </si>
  <si>
    <r>
      <rPr>
        <b val="true"/>
        <sz val="11"/>
        <rFont val="Arial"/>
        <family val="0"/>
        <charset val="1"/>
      </rPr>
      <t xml:space="preserve">6. </t>
    </r>
    <r>
      <rPr>
        <b val="true"/>
        <sz val="11"/>
        <rFont val="DejaVu Sans"/>
        <family val="2"/>
      </rPr>
      <t xml:space="preserve">付費</t>
    </r>
  </si>
  <si>
    <t xml:space="preserve">買點數包 或 訂閱</t>
  </si>
  <si>
    <r>
      <rPr>
        <b val="true"/>
        <sz val="11"/>
        <rFont val="Arial"/>
        <family val="0"/>
        <charset val="1"/>
      </rPr>
      <t xml:space="preserve">7. </t>
    </r>
    <r>
      <rPr>
        <b val="true"/>
        <sz val="11"/>
        <rFont val="DejaVu Sans"/>
        <family val="2"/>
      </rPr>
      <t xml:space="preserve">訂閱</t>
    </r>
  </si>
  <si>
    <t xml:space="preserve">從付費戶中挑轉訂閱</t>
  </si>
  <si>
    <r>
      <rPr>
        <b val="true"/>
        <sz val="11"/>
        <rFont val="Arial"/>
        <family val="0"/>
        <charset val="1"/>
      </rPr>
      <t xml:space="preserve">UV → </t>
    </r>
    <r>
      <rPr>
        <b val="true"/>
        <sz val="11"/>
        <rFont val="DejaVu Sans"/>
        <family val="2"/>
      </rPr>
      <t xml:space="preserve">付費 整體轉換</t>
    </r>
  </si>
  <si>
    <r>
      <rPr>
        <b val="true"/>
        <sz val="11"/>
        <rFont val="Arial"/>
        <family val="0"/>
        <charset val="1"/>
      </rPr>
      <t xml:space="preserve">UV → </t>
    </r>
    <r>
      <rPr>
        <b val="true"/>
        <sz val="11"/>
        <rFont val="DejaVu Sans"/>
        <family val="2"/>
      </rPr>
      <t xml:space="preserve">訂閱 整體轉換</t>
    </r>
  </si>
  <si>
    <t xml:space="preserve">關鍵假設驗證</t>
  </si>
  <si>
    <r>
      <rPr>
        <sz val="11"/>
        <rFont val="Arial"/>
        <family val="0"/>
        <charset val="1"/>
      </rPr>
      <t xml:space="preserve">UV → </t>
    </r>
    <r>
      <rPr>
        <sz val="11"/>
        <rFont val="DejaVu Sans"/>
        <family val="2"/>
      </rPr>
      <t xml:space="preserve">註冊 </t>
    </r>
    <r>
      <rPr>
        <sz val="11"/>
        <rFont val="Arial"/>
        <family val="0"/>
        <charset val="1"/>
      </rPr>
      <t xml:space="preserve">8%:</t>
    </r>
    <r>
      <rPr>
        <sz val="11"/>
        <rFont val="DejaVu Sans"/>
        <family val="2"/>
      </rPr>
      <t xml:space="preserve">中等偏樂觀</t>
    </r>
    <r>
      <rPr>
        <sz val="11"/>
        <rFont val="Arial"/>
        <family val="0"/>
        <charset val="1"/>
      </rPr>
      <t xml:space="preserve">,</t>
    </r>
    <r>
      <rPr>
        <sz val="11"/>
        <rFont val="DejaVu Sans"/>
        <family val="2"/>
      </rPr>
      <t xml:space="preserve">需有清楚價值主張 </t>
    </r>
    <r>
      <rPr>
        <sz val="11"/>
        <rFont val="Arial"/>
        <family val="0"/>
        <charset val="1"/>
      </rPr>
      <t xml:space="preserve">+ </t>
    </r>
    <r>
      <rPr>
        <sz val="11"/>
        <rFont val="DejaVu Sans"/>
        <family val="2"/>
      </rPr>
      <t xml:space="preserve">低摩擦登入</t>
    </r>
  </si>
  <si>
    <r>
      <rPr>
        <sz val="11"/>
        <rFont val="DejaVu Sans"/>
        <family val="2"/>
      </rPr>
      <t xml:space="preserve">註冊 → 付費 </t>
    </r>
    <r>
      <rPr>
        <sz val="11"/>
        <rFont val="Arial"/>
        <family val="0"/>
        <charset val="1"/>
      </rPr>
      <t xml:space="preserve">15%:</t>
    </r>
    <r>
      <rPr>
        <sz val="11"/>
        <rFont val="DejaVu Sans"/>
        <family val="2"/>
      </rPr>
      <t xml:space="preserve">偏樂觀</t>
    </r>
    <r>
      <rPr>
        <sz val="11"/>
        <rFont val="Arial"/>
        <family val="0"/>
        <charset val="1"/>
      </rPr>
      <t xml:space="preserve">,</t>
    </r>
    <r>
      <rPr>
        <sz val="11"/>
        <rFont val="DejaVu Sans"/>
        <family val="2"/>
      </rPr>
      <t xml:space="preserve">靠 </t>
    </r>
    <r>
      <rPr>
        <sz val="11"/>
        <rFont val="Arial"/>
        <family val="0"/>
        <charset val="1"/>
      </rPr>
      <t xml:space="preserve">30 </t>
    </r>
    <r>
      <rPr>
        <sz val="11"/>
        <rFont val="DejaVu Sans"/>
        <family val="2"/>
      </rPr>
      <t xml:space="preserve">點用完後的 </t>
    </r>
    <r>
      <rPr>
        <sz val="11"/>
        <rFont val="Arial"/>
        <family val="0"/>
        <charset val="1"/>
      </rPr>
      <t xml:space="preserve">FOMO + </t>
    </r>
    <r>
      <rPr>
        <sz val="11"/>
        <rFont val="DejaVu Sans"/>
        <family val="2"/>
      </rPr>
      <t xml:space="preserve">衍伸</t>
    </r>
    <r>
      <rPr>
        <sz val="11"/>
        <rFont val="Arial"/>
        <family val="0"/>
        <charset val="1"/>
      </rPr>
      <t xml:space="preserve">/</t>
    </r>
    <r>
      <rPr>
        <sz val="11"/>
        <rFont val="DejaVu Sans"/>
        <family val="2"/>
      </rPr>
      <t xml:space="preserve">詳細解析鎖</t>
    </r>
  </si>
  <si>
    <r>
      <rPr>
        <sz val="11"/>
        <rFont val="DejaVu Sans"/>
        <family val="2"/>
      </rPr>
      <t xml:space="preserve">付費 → 訂閱 </t>
    </r>
    <r>
      <rPr>
        <sz val="11"/>
        <rFont val="Arial"/>
        <family val="0"/>
        <charset val="1"/>
      </rPr>
      <t xml:space="preserve">25%:</t>
    </r>
    <r>
      <rPr>
        <sz val="11"/>
        <rFont val="DejaVu Sans"/>
        <family val="2"/>
      </rPr>
      <t xml:space="preserve">重度用戶選訂閱</t>
    </r>
    <r>
      <rPr>
        <sz val="11"/>
        <rFont val="Arial"/>
        <family val="0"/>
        <charset val="1"/>
      </rPr>
      <t xml:space="preserve">,</t>
    </r>
    <r>
      <rPr>
        <sz val="11"/>
        <rFont val="DejaVu Sans"/>
        <family val="2"/>
      </rPr>
      <t xml:space="preserve">輕度選 </t>
    </r>
    <r>
      <rPr>
        <sz val="11"/>
        <rFont val="Arial"/>
        <family val="0"/>
        <charset val="1"/>
      </rPr>
      <t xml:space="preserve">pack_500</t>
    </r>
  </si>
  <si>
    <r>
      <rPr>
        <sz val="11"/>
        <rFont val="DejaVu Sans"/>
        <family val="2"/>
      </rPr>
      <t xml:space="preserve">若 </t>
    </r>
    <r>
      <rPr>
        <sz val="11"/>
        <rFont val="Arial"/>
        <family val="0"/>
        <charset val="1"/>
      </rPr>
      <t xml:space="preserve">pack_1200 </t>
    </r>
    <r>
      <rPr>
        <sz val="11"/>
        <rFont val="DejaVu Sans"/>
        <family val="2"/>
      </rPr>
      <t xml:space="preserve">吸走 </t>
    </r>
    <r>
      <rPr>
        <sz val="11"/>
        <rFont val="Arial"/>
        <family val="0"/>
        <charset val="1"/>
      </rPr>
      <t xml:space="preserve">50% </t>
    </r>
    <r>
      <rPr>
        <sz val="11"/>
        <rFont val="DejaVu Sans"/>
        <family val="2"/>
      </rPr>
      <t xml:space="preserve">訂閱候選人</t>
    </r>
    <r>
      <rPr>
        <sz val="11"/>
        <rFont val="Arial"/>
        <family val="0"/>
        <charset val="1"/>
      </rPr>
      <t xml:space="preserve">,</t>
    </r>
    <r>
      <rPr>
        <sz val="11"/>
        <rFont val="DejaVu Sans"/>
        <family val="2"/>
      </rPr>
      <t xml:space="preserve">則訂閱轉換率 </t>
    </r>
    <r>
      <rPr>
        <sz val="11"/>
        <rFont val="Arial"/>
        <family val="0"/>
        <charset val="1"/>
      </rPr>
      <t xml:space="preserve">halve</t>
    </r>
  </si>
  <si>
    <r>
      <rPr>
        <sz val="11"/>
        <rFont val="DejaVu Sans"/>
        <family val="2"/>
      </rPr>
      <t xml:space="preserve">月 </t>
    </r>
    <r>
      <rPr>
        <sz val="11"/>
        <rFont val="Arial"/>
        <family val="0"/>
        <charset val="1"/>
      </rPr>
      <t xml:space="preserve">UV 10k = </t>
    </r>
    <r>
      <rPr>
        <sz val="11"/>
        <rFont val="DejaVu Sans"/>
        <family val="2"/>
      </rPr>
      <t xml:space="preserve">需 </t>
    </r>
    <r>
      <rPr>
        <sz val="11"/>
        <rFont val="Arial"/>
        <family val="0"/>
        <charset val="1"/>
      </rPr>
      <t xml:space="preserve">~3-5 </t>
    </r>
    <r>
      <rPr>
        <sz val="11"/>
        <rFont val="DejaVu Sans"/>
        <family val="2"/>
      </rPr>
      <t xml:space="preserve">篇 </t>
    </r>
    <r>
      <rPr>
        <sz val="11"/>
        <rFont val="Arial"/>
        <family val="0"/>
        <charset val="1"/>
      </rPr>
      <t xml:space="preserve">SEO </t>
    </r>
    <r>
      <rPr>
        <sz val="11"/>
        <rFont val="DejaVu Sans"/>
        <family val="2"/>
      </rPr>
      <t xml:space="preserve">好文 </t>
    </r>
    <r>
      <rPr>
        <sz val="11"/>
        <rFont val="Arial"/>
        <family val="0"/>
        <charset val="1"/>
      </rPr>
      <t xml:space="preserve">+ </t>
    </r>
    <r>
      <rPr>
        <sz val="11"/>
        <rFont val="DejaVu Sans"/>
        <family val="2"/>
      </rPr>
      <t xml:space="preserve">社群 </t>
    </r>
    <r>
      <rPr>
        <sz val="11"/>
        <rFont val="Arial"/>
        <family val="0"/>
        <charset val="1"/>
      </rPr>
      <t xml:space="preserve">~30k follower </t>
    </r>
    <r>
      <rPr>
        <sz val="11"/>
        <rFont val="DejaVu Sans"/>
        <family val="2"/>
      </rPr>
      <t xml:space="preserve">等級</t>
    </r>
  </si>
  <si>
    <t xml:space="preserve">商業模式風險與待辦</t>
  </si>
  <si>
    <t xml:space="preserve">#</t>
  </si>
  <si>
    <t xml:space="preserve">項目</t>
  </si>
  <si>
    <t xml:space="preserve">狀態</t>
  </si>
  <si>
    <t xml:space="preserve">金流接入</t>
  </si>
  <si>
    <r>
      <rPr>
        <sz val="11"/>
        <rFont val="DejaVu Sans"/>
        <family val="2"/>
      </rPr>
      <t xml:space="preserve">目前 </t>
    </r>
    <r>
      <rPr>
        <sz val="11"/>
        <rFont val="Arial"/>
        <family val="0"/>
        <charset val="1"/>
      </rPr>
      <t xml:space="preserve">UI </t>
    </r>
    <r>
      <rPr>
        <sz val="11"/>
        <rFont val="DejaVu Sans"/>
        <family val="2"/>
      </rPr>
      <t xml:space="preserve">有點數包 </t>
    </r>
    <r>
      <rPr>
        <sz val="11"/>
        <rFont val="Arial"/>
        <family val="0"/>
        <charset val="1"/>
      </rPr>
      <t xml:space="preserve">/ </t>
    </r>
    <r>
      <rPr>
        <sz val="11"/>
        <rFont val="DejaVu Sans"/>
        <family val="2"/>
      </rPr>
      <t xml:space="preserve">訂閱頁</t>
    </r>
    <r>
      <rPr>
        <sz val="11"/>
        <rFont val="Arial"/>
        <family val="0"/>
        <charset val="1"/>
      </rPr>
      <t xml:space="preserve">,</t>
    </r>
    <r>
      <rPr>
        <sz val="11"/>
        <rFont val="DejaVu Sans"/>
        <family val="2"/>
      </rPr>
      <t xml:space="preserve">但無實際金流按鈕作用。需接綠界 </t>
    </r>
    <r>
      <rPr>
        <sz val="11"/>
        <rFont val="Arial"/>
        <family val="0"/>
        <charset val="1"/>
      </rPr>
      <t xml:space="preserve">/ </t>
    </r>
    <r>
      <rPr>
        <sz val="11"/>
        <rFont val="DejaVu Sans"/>
        <family val="2"/>
      </rPr>
      <t xml:space="preserve">藍新 </t>
    </r>
    <r>
      <rPr>
        <sz val="11"/>
        <rFont val="Arial"/>
        <family val="0"/>
        <charset val="1"/>
      </rPr>
      <t xml:space="preserve">/ Stripe</t>
    </r>
    <r>
      <rPr>
        <sz val="11"/>
        <rFont val="DejaVu Sans"/>
        <family val="2"/>
      </rPr>
      <t xml:space="preserve">。</t>
    </r>
  </si>
  <si>
    <t xml:space="preserve">TODO</t>
  </si>
  <si>
    <t xml:space="preserve">Supabase Manual Linking</t>
  </si>
  <si>
    <r>
      <rPr>
        <sz val="11"/>
        <rFont val="DejaVu Sans"/>
        <family val="2"/>
      </rPr>
      <t xml:space="preserve">多 </t>
    </r>
    <r>
      <rPr>
        <sz val="11"/>
        <rFont val="Arial"/>
        <family val="0"/>
        <charset val="1"/>
      </rPr>
      <t xml:space="preserve">provider </t>
    </r>
    <r>
      <rPr>
        <sz val="11"/>
        <rFont val="DejaVu Sans"/>
        <family val="2"/>
      </rPr>
      <t xml:space="preserve">綁定需開 </t>
    </r>
    <r>
      <rPr>
        <sz val="11"/>
        <rFont val="Arial"/>
        <family val="0"/>
        <charset val="1"/>
      </rPr>
      <t xml:space="preserve">Dashboard </t>
    </r>
    <r>
      <rPr>
        <sz val="11"/>
        <rFont val="DejaVu Sans"/>
        <family val="2"/>
      </rPr>
      <t xml:space="preserve">設定</t>
    </r>
    <r>
      <rPr>
        <sz val="11"/>
        <rFont val="Arial"/>
        <family val="0"/>
        <charset val="1"/>
      </rPr>
      <t xml:space="preserve">,</t>
    </r>
    <r>
      <rPr>
        <sz val="11"/>
        <rFont val="DejaVu Sans"/>
        <family val="2"/>
      </rPr>
      <t xml:space="preserve">未啟用時 </t>
    </r>
    <r>
      <rPr>
        <sz val="11"/>
        <rFont val="Arial"/>
        <family val="0"/>
        <charset val="1"/>
      </rPr>
      <t xml:space="preserve">/account/linked </t>
    </r>
    <r>
      <rPr>
        <sz val="11"/>
        <rFont val="DejaVu Sans"/>
        <family val="2"/>
      </rPr>
      <t xml:space="preserve">操作會失敗。</t>
    </r>
  </si>
  <si>
    <r>
      <rPr>
        <b val="true"/>
        <sz val="11"/>
        <rFont val="Arial"/>
        <family val="0"/>
        <charset val="1"/>
      </rPr>
      <t xml:space="preserve">Apple Sign In </t>
    </r>
    <r>
      <rPr>
        <b val="true"/>
        <sz val="11"/>
        <rFont val="DejaVu Sans"/>
        <family val="2"/>
      </rPr>
      <t xml:space="preserve">實作</t>
    </r>
  </si>
  <si>
    <r>
      <rPr>
        <sz val="11"/>
        <rFont val="Arial"/>
        <family val="0"/>
        <charset val="1"/>
      </rPr>
      <t xml:space="preserve">code </t>
    </r>
    <r>
      <rPr>
        <sz val="11"/>
        <rFont val="DejaVu Sans"/>
        <family val="2"/>
      </rPr>
      <t xml:space="preserve">已支援</t>
    </r>
    <r>
      <rPr>
        <sz val="11"/>
        <rFont val="Arial"/>
        <family val="0"/>
        <charset val="1"/>
      </rPr>
      <t xml:space="preserve">,</t>
    </r>
    <r>
      <rPr>
        <sz val="11"/>
        <rFont val="DejaVu Sans"/>
        <family val="2"/>
      </rPr>
      <t xml:space="preserve">需 </t>
    </r>
    <r>
      <rPr>
        <sz val="11"/>
        <rFont val="Arial"/>
        <family val="0"/>
        <charset val="1"/>
      </rPr>
      <t xml:space="preserve">Apple Developer Team ID + Services ID + .p8 Private Key</t>
    </r>
    <r>
      <rPr>
        <sz val="11"/>
        <rFont val="DejaVu Sans"/>
        <family val="2"/>
      </rPr>
      <t xml:space="preserve">。</t>
    </r>
  </si>
  <si>
    <t xml:space="preserve">LINE Login</t>
  </si>
  <si>
    <r>
      <rPr>
        <sz val="11"/>
        <rFont val="DejaVu Sans"/>
        <family val="2"/>
      </rPr>
      <t xml:space="preserve">需 </t>
    </r>
    <r>
      <rPr>
        <sz val="11"/>
        <rFont val="Arial"/>
        <family val="0"/>
        <charset val="1"/>
      </rPr>
      <t xml:space="preserve">Supabase Pro ($25/</t>
    </r>
    <r>
      <rPr>
        <sz val="11"/>
        <rFont val="DejaVu Sans"/>
        <family val="2"/>
      </rPr>
      <t xml:space="preserve">月</t>
    </r>
    <r>
      <rPr>
        <sz val="11"/>
        <rFont val="Arial"/>
        <family val="0"/>
        <charset val="1"/>
      </rPr>
      <t xml:space="preserve">) Custom OIDC </t>
    </r>
    <r>
      <rPr>
        <sz val="11"/>
        <rFont val="DejaVu Sans"/>
        <family val="2"/>
      </rPr>
      <t xml:space="preserve">或自建 </t>
    </r>
    <r>
      <rPr>
        <sz val="11"/>
        <rFont val="Arial"/>
        <family val="0"/>
        <charset val="1"/>
      </rPr>
      <t xml:space="preserve">route</t>
    </r>
    <r>
      <rPr>
        <sz val="11"/>
        <rFont val="DejaVu Sans"/>
        <family val="2"/>
      </rPr>
      <t xml:space="preserve">。目前 </t>
    </r>
    <r>
      <rPr>
        <sz val="11"/>
        <rFont val="Arial"/>
        <family val="0"/>
        <charset val="1"/>
      </rPr>
      <t xml:space="preserve">env flag </t>
    </r>
    <r>
      <rPr>
        <sz val="11"/>
        <rFont val="DejaVu Sans"/>
        <family val="2"/>
      </rPr>
      <t xml:space="preserve">關閉。</t>
    </r>
  </si>
  <si>
    <t xml:space="preserve">規劃中</t>
  </si>
  <si>
    <t xml:space="preserve">Google Play / Apple IAP</t>
  </si>
  <si>
    <r>
      <rPr>
        <sz val="11"/>
        <rFont val="Arial"/>
        <family val="0"/>
        <charset val="1"/>
      </rPr>
      <t xml:space="preserve">TWA </t>
    </r>
    <r>
      <rPr>
        <sz val="11"/>
        <rFont val="DejaVu Sans"/>
        <family val="2"/>
      </rPr>
      <t xml:space="preserve">上架若走 </t>
    </r>
    <r>
      <rPr>
        <sz val="11"/>
        <rFont val="Arial"/>
        <family val="0"/>
        <charset val="1"/>
      </rPr>
      <t xml:space="preserve">Play Billing </t>
    </r>
    <r>
      <rPr>
        <sz val="11"/>
        <rFont val="DejaVu Sans"/>
        <family val="2"/>
      </rPr>
      <t xml:space="preserve">抽 </t>
    </r>
    <r>
      <rPr>
        <sz val="11"/>
        <rFont val="Arial"/>
        <family val="0"/>
        <charset val="1"/>
      </rPr>
      <t xml:space="preserve">15-30%,</t>
    </r>
    <r>
      <rPr>
        <sz val="11"/>
        <rFont val="DejaVu Sans"/>
        <family val="2"/>
      </rPr>
      <t xml:space="preserve">優先 </t>
    </r>
    <r>
      <rPr>
        <sz val="11"/>
        <rFont val="Arial"/>
        <family val="0"/>
        <charset val="1"/>
      </rPr>
      <t xml:space="preserve">web </t>
    </r>
    <r>
      <rPr>
        <sz val="11"/>
        <rFont val="DejaVu Sans"/>
        <family val="2"/>
      </rPr>
      <t xml:space="preserve">金流。</t>
    </r>
  </si>
  <si>
    <t xml:space="preserve">策略待定</t>
  </si>
  <si>
    <r>
      <rPr>
        <b val="true"/>
        <sz val="11"/>
        <rFont val="Arial"/>
        <family val="0"/>
        <charset val="1"/>
      </rPr>
      <t xml:space="preserve">7 </t>
    </r>
    <r>
      <rPr>
        <b val="true"/>
        <sz val="11"/>
        <rFont val="DejaVu Sans"/>
        <family val="2"/>
      </rPr>
      <t xml:space="preserve">折開運物品商店</t>
    </r>
  </si>
  <si>
    <r>
      <rPr>
        <sz val="11"/>
        <rFont val="DejaVu Sans"/>
        <family val="2"/>
      </rPr>
      <t xml:space="preserve">權益列表有列</t>
    </r>
    <r>
      <rPr>
        <sz val="11"/>
        <rFont val="Arial"/>
        <family val="0"/>
        <charset val="1"/>
      </rPr>
      <t xml:space="preserve">,</t>
    </r>
    <r>
      <rPr>
        <sz val="11"/>
        <rFont val="DejaVu Sans"/>
        <family val="2"/>
      </rPr>
      <t xml:space="preserve">但商店尚未建。</t>
    </r>
  </si>
  <si>
    <t xml:space="preserve">未落地</t>
  </si>
  <si>
    <r>
      <rPr>
        <b val="true"/>
        <sz val="11"/>
        <rFont val="Arial"/>
        <family val="0"/>
        <charset val="1"/>
      </rPr>
      <t xml:space="preserve">Churn </t>
    </r>
    <r>
      <rPr>
        <b val="true"/>
        <sz val="11"/>
        <rFont val="DejaVu Sans"/>
        <family val="2"/>
      </rPr>
      <t xml:space="preserve">管理</t>
    </r>
  </si>
  <si>
    <r>
      <rPr>
        <sz val="11"/>
        <rFont val="DejaVu Sans"/>
        <family val="2"/>
      </rPr>
      <t xml:space="preserve">訂閱尚未正式開賣</t>
    </r>
    <r>
      <rPr>
        <sz val="11"/>
        <rFont val="Arial"/>
        <family val="0"/>
        <charset val="1"/>
      </rPr>
      <t xml:space="preserve">,</t>
    </r>
    <r>
      <rPr>
        <sz val="11"/>
        <rFont val="DejaVu Sans"/>
        <family val="2"/>
      </rPr>
      <t xml:space="preserve">但需規劃 </t>
    </r>
    <r>
      <rPr>
        <sz val="11"/>
        <rFont val="Arial"/>
        <family val="0"/>
        <charset val="1"/>
      </rPr>
      <t xml:space="preserve">cancel flow + </t>
    </r>
    <r>
      <rPr>
        <sz val="11"/>
        <rFont val="DejaVu Sans"/>
        <family val="2"/>
      </rPr>
      <t xml:space="preserve">挽留 </t>
    </r>
    <r>
      <rPr>
        <sz val="11"/>
        <rFont val="Arial"/>
        <family val="0"/>
        <charset val="1"/>
      </rPr>
      <t xml:space="preserve">offer</t>
    </r>
    <r>
      <rPr>
        <sz val="11"/>
        <rFont val="DejaVu Sans"/>
        <family val="2"/>
      </rPr>
      <t xml:space="preserve">。</t>
    </r>
  </si>
  <si>
    <r>
      <rPr>
        <b val="true"/>
        <sz val="11"/>
        <rFont val="DejaVu Sans"/>
        <family val="2"/>
      </rPr>
      <t xml:space="preserve">租稅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DejaVu Sans"/>
        <family val="2"/>
      </rPr>
      <t xml:space="preserve">發票</t>
    </r>
  </si>
  <si>
    <r>
      <rPr>
        <sz val="11"/>
        <rFont val="DejaVu Sans"/>
        <family val="2"/>
      </rPr>
      <t xml:space="preserve">境內販售需開發票</t>
    </r>
    <r>
      <rPr>
        <sz val="11"/>
        <rFont val="Arial"/>
        <family val="0"/>
        <charset val="1"/>
      </rPr>
      <t xml:space="preserve">(</t>
    </r>
    <r>
      <rPr>
        <sz val="11"/>
        <rFont val="DejaVu Sans"/>
        <family val="2"/>
      </rPr>
      <t xml:space="preserve">雲端發票</t>
    </r>
    <r>
      <rPr>
        <sz val="11"/>
        <rFont val="Arial"/>
        <family val="0"/>
        <charset val="1"/>
      </rPr>
      <t xml:space="preserve">),</t>
    </r>
    <r>
      <rPr>
        <sz val="11"/>
        <rFont val="DejaVu Sans"/>
        <family val="2"/>
      </rPr>
      <t xml:space="preserve">境外用戶 </t>
    </r>
    <r>
      <rPr>
        <sz val="11"/>
        <rFont val="Arial"/>
        <family val="0"/>
        <charset val="1"/>
      </rPr>
      <t xml:space="preserve">GST/VAT </t>
    </r>
    <r>
      <rPr>
        <sz val="11"/>
        <rFont val="DejaVu Sans"/>
        <family val="2"/>
      </rPr>
      <t xml:space="preserve">另議。</t>
    </r>
  </si>
  <si>
    <r>
      <rPr>
        <b val="true"/>
        <sz val="11"/>
        <rFont val="DejaVu Sans"/>
        <family val="2"/>
      </rPr>
      <t xml:space="preserve">客服 </t>
    </r>
    <r>
      <rPr>
        <b val="true"/>
        <sz val="11"/>
        <rFont val="Arial"/>
        <family val="0"/>
        <charset val="1"/>
      </rPr>
      <t xml:space="preserve">SLA</t>
    </r>
  </si>
  <si>
    <r>
      <rPr>
        <sz val="11"/>
        <rFont val="DejaVu Sans"/>
        <family val="2"/>
      </rPr>
      <t xml:space="preserve">退款 </t>
    </r>
    <r>
      <rPr>
        <sz val="11"/>
        <rFont val="Arial"/>
        <family val="0"/>
        <charset val="1"/>
      </rPr>
      <t xml:space="preserve">/ </t>
    </r>
    <r>
      <rPr>
        <sz val="11"/>
        <rFont val="DejaVu Sans"/>
        <family val="2"/>
      </rPr>
      <t xml:space="preserve">綁定失敗 </t>
    </r>
    <r>
      <rPr>
        <sz val="11"/>
        <rFont val="Arial"/>
        <family val="0"/>
        <charset val="1"/>
      </rPr>
      <t xml:space="preserve">/ </t>
    </r>
    <r>
      <rPr>
        <sz val="11"/>
        <rFont val="DejaVu Sans"/>
        <family val="2"/>
      </rPr>
      <t xml:space="preserve">點數爭議需 </t>
    </r>
    <r>
      <rPr>
        <sz val="11"/>
        <rFont val="Arial"/>
        <family val="0"/>
        <charset val="1"/>
      </rPr>
      <t xml:space="preserve">contact@heronhouse.me </t>
    </r>
    <r>
      <rPr>
        <sz val="11"/>
        <rFont val="DejaVu Sans"/>
        <family val="2"/>
      </rPr>
      <t xml:space="preserve">工單流程。</t>
    </r>
  </si>
  <si>
    <r>
      <rPr>
        <b val="true"/>
        <sz val="11"/>
        <rFont val="DejaVu Sans"/>
        <family val="2"/>
      </rPr>
      <t xml:space="preserve">監測 </t>
    </r>
    <r>
      <rPr>
        <b val="true"/>
        <sz val="11"/>
        <rFont val="Arial"/>
        <family val="0"/>
        <charset val="1"/>
      </rPr>
      <t xml:space="preserve">&amp; </t>
    </r>
    <r>
      <rPr>
        <b val="true"/>
        <sz val="11"/>
        <rFont val="DejaVu Sans"/>
        <family val="2"/>
      </rPr>
      <t xml:space="preserve">漏斗埋點</t>
    </r>
  </si>
  <si>
    <r>
      <rPr>
        <sz val="11"/>
        <rFont val="DejaVu Sans"/>
        <family val="2"/>
      </rPr>
      <t xml:space="preserve">目前無 </t>
    </r>
    <r>
      <rPr>
        <sz val="11"/>
        <rFont val="Arial"/>
        <family val="0"/>
        <charset val="1"/>
      </rPr>
      <t xml:space="preserve">analytics,</t>
    </r>
    <r>
      <rPr>
        <sz val="11"/>
        <rFont val="DejaVu Sans"/>
        <family val="2"/>
      </rPr>
      <t xml:space="preserve">需 </t>
    </r>
    <r>
      <rPr>
        <sz val="11"/>
        <rFont val="Arial"/>
        <family val="0"/>
        <charset val="1"/>
      </rPr>
      <t xml:space="preserve">GA4 / Plausible + Mixpanel </t>
    </r>
    <r>
      <rPr>
        <sz val="11"/>
        <rFont val="DejaVu Sans"/>
        <family val="2"/>
      </rPr>
      <t xml:space="preserve">類行為事件。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</si>
</sst>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[RED]\(#,##0\);\-"/>
    <numFmt numFmtId="166" formatCode="0.0%;[RED]\(0.0%\);\-"/>
    <numFmt numFmtId="167" formatCode="&quot;NT$&quot;#,##0;[RED]&quot;(NT$&quot;#,##0\);\-"/>
    <numFmt numFmtId="168" formatCode="&quot;NT$&quot;#,##0.00;[RED]&quot;(NT$&quot;#,##0.00\)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DejaVu Sans"/>
      <family val="2"/>
    </font>
    <font>
      <i val="true"/>
      <sz val="9"/>
      <color rgb="FF595959"/>
      <name val="DejaVu Sans"/>
      <family val="2"/>
    </font>
    <font>
      <i val="true"/>
      <sz val="9"/>
      <color rgb="FF595959"/>
      <name val="Arial"/>
      <family val="0"/>
      <charset val="1"/>
    </font>
    <font>
      <b val="true"/>
      <sz val="11"/>
      <color rgb="FF000000"/>
      <name val="DejaVu Sans"/>
      <family val="2"/>
    </font>
    <font>
      <b val="true"/>
      <sz val="11"/>
      <name val="DejaVu Sans"/>
      <family val="2"/>
    </font>
    <font>
      <sz val="11"/>
      <name val="DejaVu Sans"/>
      <family val="2"/>
    </font>
    <font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DejaVu Sans"/>
      <family val="2"/>
    </font>
    <font>
      <b val="true"/>
      <sz val="11"/>
      <color rgb="FFC00000"/>
      <name val="Arial"/>
      <family val="0"/>
      <charset val="1"/>
    </font>
    <font>
      <b val="true"/>
      <sz val="11"/>
      <color rgb="FF9C5700"/>
      <name val="DejaVu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55"/>
    <col collapsed="false" customWidth="true" hidden="false" outlineLevel="0" max="4" min="4" style="0" width="30"/>
    <col collapsed="false" customWidth="true" hidden="false" outlineLevel="0" max="5" min="5" style="0" width="3"/>
  </cols>
  <sheetData>
    <row r="2" customFormat="false" ht="30" hidden="false" customHeight="true" outlineLevel="0" collapsed="false">
      <c r="B2" s="1" t="s">
        <v>0</v>
      </c>
      <c r="C2" s="1"/>
      <c r="D2" s="1"/>
    </row>
    <row r="3" customFormat="false" ht="15" hidden="false" customHeight="false" outlineLevel="0" collapsed="false">
      <c r="B3" s="2" t="s">
        <v>1</v>
      </c>
      <c r="C3" s="2"/>
      <c r="D3" s="2"/>
    </row>
    <row r="5" customFormat="false" ht="15" hidden="false" customHeight="false" outlineLevel="0" collapsed="false">
      <c r="B5" s="3" t="s">
        <v>2</v>
      </c>
      <c r="C5" s="3"/>
      <c r="D5" s="3"/>
    </row>
    <row r="6" customFormat="false" ht="31.5" hidden="false" customHeight="true" outlineLevel="0" collapsed="false">
      <c r="B6" s="4" t="s">
        <v>3</v>
      </c>
      <c r="C6" s="5" t="s">
        <v>4</v>
      </c>
    </row>
    <row r="7" customFormat="false" ht="31.5" hidden="false" customHeight="true" outlineLevel="0" collapsed="false">
      <c r="B7" s="4" t="s">
        <v>5</v>
      </c>
      <c r="C7" s="6" t="s">
        <v>6</v>
      </c>
    </row>
    <row r="8" customFormat="false" ht="31.5" hidden="false" customHeight="true" outlineLevel="0" collapsed="false">
      <c r="B8" s="4" t="s">
        <v>7</v>
      </c>
      <c r="C8" s="6" t="s">
        <v>8</v>
      </c>
    </row>
    <row r="9" customFormat="false" ht="31.5" hidden="false" customHeight="true" outlineLevel="0" collapsed="false">
      <c r="B9" s="4" t="s">
        <v>9</v>
      </c>
      <c r="C9" s="5" t="s">
        <v>10</v>
      </c>
    </row>
    <row r="10" customFormat="false" ht="31.5" hidden="false" customHeight="true" outlineLevel="0" collapsed="false">
      <c r="B10" s="4" t="s">
        <v>11</v>
      </c>
      <c r="C10" s="6" t="s">
        <v>12</v>
      </c>
    </row>
    <row r="12" customFormat="false" ht="15" hidden="false" customHeight="false" outlineLevel="0" collapsed="false">
      <c r="B12" s="3" t="s">
        <v>13</v>
      </c>
      <c r="C12" s="3"/>
      <c r="D12" s="3"/>
    </row>
    <row r="13" customFormat="false" ht="15" hidden="false" customHeight="false" outlineLevel="0" collapsed="false">
      <c r="B13" s="7" t="s">
        <v>14</v>
      </c>
      <c r="C13" s="7" t="s">
        <v>15</v>
      </c>
      <c r="D13" s="7" t="s">
        <v>16</v>
      </c>
    </row>
    <row r="14" customFormat="false" ht="43.5" hidden="false" customHeight="true" outlineLevel="0" collapsed="false">
      <c r="B14" s="8" t="s">
        <v>17</v>
      </c>
      <c r="C14" s="5" t="s">
        <v>18</v>
      </c>
      <c r="D14" s="5" t="s">
        <v>19</v>
      </c>
    </row>
    <row r="15" customFormat="false" ht="43.5" hidden="false" customHeight="true" outlineLevel="0" collapsed="false">
      <c r="B15" s="8" t="s">
        <v>20</v>
      </c>
      <c r="C15" s="5" t="s">
        <v>21</v>
      </c>
      <c r="D15" s="6" t="s">
        <v>22</v>
      </c>
    </row>
    <row r="16" customFormat="false" ht="43.5" hidden="false" customHeight="true" outlineLevel="0" collapsed="false">
      <c r="B16" s="8" t="s">
        <v>23</v>
      </c>
      <c r="C16" s="5" t="s">
        <v>24</v>
      </c>
      <c r="D16" s="5" t="s">
        <v>25</v>
      </c>
    </row>
    <row r="18" customFormat="false" ht="15" hidden="false" customHeight="false" outlineLevel="0" collapsed="false">
      <c r="B18" s="3" t="s">
        <v>26</v>
      </c>
      <c r="C18" s="3"/>
      <c r="D18" s="3"/>
    </row>
    <row r="19" customFormat="false" ht="15" hidden="false" customHeight="false" outlineLevel="0" collapsed="false">
      <c r="B19" s="7" t="s">
        <v>27</v>
      </c>
      <c r="C19" s="7" t="s">
        <v>28</v>
      </c>
      <c r="D19" s="7" t="s">
        <v>29</v>
      </c>
    </row>
    <row r="20" customFormat="false" ht="36" hidden="false" customHeight="true" outlineLevel="0" collapsed="false">
      <c r="B20" s="8" t="s">
        <v>30</v>
      </c>
      <c r="C20" s="5" t="s">
        <v>31</v>
      </c>
      <c r="D20" s="5" t="s">
        <v>32</v>
      </c>
    </row>
    <row r="21" customFormat="false" ht="36" hidden="false" customHeight="true" outlineLevel="0" collapsed="false">
      <c r="B21" s="8" t="s">
        <v>33</v>
      </c>
      <c r="C21" s="5" t="s">
        <v>34</v>
      </c>
      <c r="D21" s="5" t="s">
        <v>35</v>
      </c>
    </row>
    <row r="22" customFormat="false" ht="36" hidden="false" customHeight="true" outlineLevel="0" collapsed="false">
      <c r="B22" s="8" t="s">
        <v>36</v>
      </c>
      <c r="C22" s="5" t="s">
        <v>37</v>
      </c>
      <c r="D22" s="6" t="s">
        <v>38</v>
      </c>
    </row>
    <row r="23" customFormat="false" ht="36" hidden="false" customHeight="true" outlineLevel="0" collapsed="false">
      <c r="B23" s="8" t="s">
        <v>39</v>
      </c>
      <c r="C23" s="5" t="s">
        <v>40</v>
      </c>
      <c r="D23" s="5" t="s">
        <v>41</v>
      </c>
    </row>
  </sheetData>
  <mergeCells count="5">
    <mergeCell ref="B2:D2"/>
    <mergeCell ref="B3:D3"/>
    <mergeCell ref="B5:D5"/>
    <mergeCell ref="B12:D12"/>
    <mergeCell ref="B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36"/>
  </cols>
  <sheetData>
    <row r="2" customFormat="false" ht="15" hidden="false" customHeight="true" outlineLevel="0" collapsed="false">
      <c r="B2" s="9" t="s">
        <v>42</v>
      </c>
      <c r="C2" s="9"/>
      <c r="D2" s="9"/>
      <c r="E2" s="9"/>
      <c r="F2" s="9"/>
    </row>
    <row r="4" customFormat="false" ht="15" hidden="false" customHeight="false" outlineLevel="0" collapsed="false">
      <c r="B4" s="3" t="s">
        <v>43</v>
      </c>
      <c r="C4" s="3"/>
      <c r="D4" s="3"/>
      <c r="E4" s="3"/>
      <c r="F4" s="3"/>
    </row>
    <row r="5" customFormat="false" ht="15" hidden="false" customHeight="false" outlineLevel="0" collapsed="false">
      <c r="B5" s="7" t="s">
        <v>44</v>
      </c>
      <c r="C5" s="7" t="s">
        <v>45</v>
      </c>
      <c r="D5" s="10" t="s">
        <v>46</v>
      </c>
      <c r="E5" s="7" t="s">
        <v>47</v>
      </c>
      <c r="F5" s="7" t="s">
        <v>15</v>
      </c>
    </row>
    <row r="6" customFormat="false" ht="15" hidden="false" customHeight="false" outlineLevel="0" collapsed="false">
      <c r="B6" s="4" t="s">
        <v>48</v>
      </c>
      <c r="C6" s="11" t="n">
        <v>5</v>
      </c>
      <c r="D6" s="12" t="s">
        <v>49</v>
      </c>
      <c r="E6" s="13" t="n">
        <f aca="false">C6/$C$6</f>
        <v>1</v>
      </c>
      <c r="F6" s="5" t="s">
        <v>50</v>
      </c>
    </row>
    <row r="7" customFormat="false" ht="15" hidden="false" customHeight="false" outlineLevel="0" collapsed="false">
      <c r="B7" s="4" t="s">
        <v>51</v>
      </c>
      <c r="C7" s="11" t="n">
        <v>5</v>
      </c>
      <c r="D7" s="12" t="s">
        <v>52</v>
      </c>
      <c r="E7" s="13" t="n">
        <f aca="false">C7/$C$6</f>
        <v>1</v>
      </c>
      <c r="F7" s="5" t="s">
        <v>53</v>
      </c>
    </row>
    <row r="8" customFormat="false" ht="15" hidden="false" customHeight="false" outlineLevel="0" collapsed="false">
      <c r="B8" s="4" t="s">
        <v>54</v>
      </c>
      <c r="C8" s="11" t="n">
        <v>10</v>
      </c>
      <c r="D8" s="12" t="s">
        <v>55</v>
      </c>
      <c r="E8" s="13" t="n">
        <f aca="false">C8/$C$6</f>
        <v>2</v>
      </c>
      <c r="F8" s="5" t="s">
        <v>56</v>
      </c>
    </row>
    <row r="9" customFormat="false" ht="15" hidden="false" customHeight="false" outlineLevel="0" collapsed="false">
      <c r="B9" s="4" t="s">
        <v>57</v>
      </c>
      <c r="C9" s="11" t="n">
        <v>1</v>
      </c>
      <c r="D9" s="12" t="s">
        <v>58</v>
      </c>
      <c r="E9" s="13" t="n">
        <f aca="false">C9/$C$6</f>
        <v>0.2</v>
      </c>
      <c r="F9" s="5" t="s">
        <v>59</v>
      </c>
    </row>
    <row r="11" customFormat="false" ht="15" hidden="false" customHeight="false" outlineLevel="0" collapsed="false">
      <c r="B11" s="3" t="s">
        <v>60</v>
      </c>
      <c r="C11" s="3"/>
      <c r="D11" s="3"/>
      <c r="E11" s="3"/>
      <c r="F11" s="3"/>
    </row>
    <row r="12" customFormat="false" ht="15" hidden="false" customHeight="false" outlineLevel="0" collapsed="false">
      <c r="B12" s="7" t="s">
        <v>61</v>
      </c>
      <c r="C12" s="7" t="s">
        <v>62</v>
      </c>
      <c r="D12" s="7" t="s">
        <v>63</v>
      </c>
      <c r="E12" s="7" t="s">
        <v>64</v>
      </c>
      <c r="F12" s="7" t="s">
        <v>15</v>
      </c>
    </row>
    <row r="13" customFormat="false" ht="27.75" hidden="false" customHeight="true" outlineLevel="0" collapsed="false">
      <c r="B13" s="8" t="s">
        <v>65</v>
      </c>
      <c r="C13" s="11" t="n">
        <v>30</v>
      </c>
      <c r="D13" s="14" t="s">
        <v>66</v>
      </c>
      <c r="E13" s="5" t="s">
        <v>67</v>
      </c>
      <c r="F13" s="5" t="s">
        <v>68</v>
      </c>
    </row>
    <row r="14" customFormat="false" ht="27.75" hidden="false" customHeight="true" outlineLevel="0" collapsed="false">
      <c r="B14" s="8" t="s">
        <v>69</v>
      </c>
      <c r="C14" s="11" t="n">
        <v>600</v>
      </c>
      <c r="D14" s="14" t="s">
        <v>70</v>
      </c>
      <c r="E14" s="5" t="s">
        <v>71</v>
      </c>
      <c r="F14" s="5" t="s">
        <v>72</v>
      </c>
    </row>
    <row r="15" customFormat="false" ht="27.75" hidden="false" customHeight="true" outlineLevel="0" collapsed="false">
      <c r="B15" s="8" t="s">
        <v>73</v>
      </c>
      <c r="C15" s="11" t="n">
        <v>200</v>
      </c>
      <c r="D15" s="14" t="s">
        <v>74</v>
      </c>
      <c r="E15" s="5" t="s">
        <v>75</v>
      </c>
      <c r="F15" s="6" t="s">
        <v>76</v>
      </c>
    </row>
    <row r="16" customFormat="false" ht="27.75" hidden="false" customHeight="true" outlineLevel="0" collapsed="false">
      <c r="B16" s="8" t="s">
        <v>77</v>
      </c>
      <c r="C16" s="11" t="n">
        <v>550</v>
      </c>
      <c r="D16" s="14" t="s">
        <v>74</v>
      </c>
      <c r="E16" s="5" t="s">
        <v>75</v>
      </c>
      <c r="F16" s="6" t="s">
        <v>78</v>
      </c>
    </row>
    <row r="17" customFormat="false" ht="27.75" hidden="false" customHeight="true" outlineLevel="0" collapsed="false">
      <c r="B17" s="8" t="s">
        <v>79</v>
      </c>
      <c r="C17" s="11" t="n">
        <v>1400</v>
      </c>
      <c r="D17" s="14" t="s">
        <v>74</v>
      </c>
      <c r="E17" s="5" t="s">
        <v>75</v>
      </c>
      <c r="F17" s="6" t="s">
        <v>80</v>
      </c>
    </row>
    <row r="18" customFormat="false" ht="27.75" hidden="false" customHeight="true" outlineLevel="0" collapsed="false">
      <c r="B18" s="8" t="s">
        <v>81</v>
      </c>
      <c r="C18" s="15" t="s">
        <v>82</v>
      </c>
      <c r="D18" s="14" t="s">
        <v>83</v>
      </c>
      <c r="E18" s="6" t="s">
        <v>84</v>
      </c>
      <c r="F18" s="5" t="s">
        <v>85</v>
      </c>
    </row>
    <row r="20" customFormat="false" ht="15" hidden="false" customHeight="false" outlineLevel="0" collapsed="false">
      <c r="B20" s="3" t="s">
        <v>86</v>
      </c>
      <c r="C20" s="3"/>
      <c r="D20" s="3"/>
      <c r="E20" s="3"/>
      <c r="F20" s="3"/>
    </row>
    <row r="21" customFormat="false" ht="21.75" hidden="false" customHeight="true" outlineLevel="0" collapsed="false">
      <c r="B21" s="16" t="s">
        <v>87</v>
      </c>
      <c r="C21" s="5" t="s">
        <v>88</v>
      </c>
      <c r="D21" s="5"/>
      <c r="E21" s="5"/>
      <c r="F21" s="5"/>
    </row>
    <row r="22" customFormat="false" ht="21.75" hidden="false" customHeight="true" outlineLevel="0" collapsed="false">
      <c r="B22" s="16" t="s">
        <v>87</v>
      </c>
      <c r="C22" s="5" t="s">
        <v>89</v>
      </c>
      <c r="D22" s="5"/>
      <c r="E22" s="5"/>
      <c r="F22" s="5"/>
    </row>
    <row r="23" customFormat="false" ht="21.75" hidden="false" customHeight="true" outlineLevel="0" collapsed="false">
      <c r="B23" s="16" t="s">
        <v>87</v>
      </c>
      <c r="C23" s="5" t="s">
        <v>90</v>
      </c>
      <c r="D23" s="5"/>
      <c r="E23" s="5"/>
      <c r="F23" s="5"/>
    </row>
    <row r="24" customFormat="false" ht="21.75" hidden="false" customHeight="true" outlineLevel="0" collapsed="false">
      <c r="B24" s="16" t="s">
        <v>87</v>
      </c>
      <c r="C24" s="6" t="s">
        <v>91</v>
      </c>
      <c r="D24" s="6"/>
      <c r="E24" s="6"/>
      <c r="F24" s="6"/>
    </row>
    <row r="25" customFormat="false" ht="21.75" hidden="false" customHeight="true" outlineLevel="0" collapsed="false">
      <c r="B25" s="16" t="s">
        <v>87</v>
      </c>
      <c r="C25" s="5" t="s">
        <v>92</v>
      </c>
      <c r="D25" s="5"/>
      <c r="E25" s="5"/>
      <c r="F25" s="5"/>
    </row>
  </sheetData>
  <mergeCells count="9">
    <mergeCell ref="B2:F2"/>
    <mergeCell ref="B4:F4"/>
    <mergeCell ref="B11:F11"/>
    <mergeCell ref="B20:F20"/>
    <mergeCell ref="C21:F21"/>
    <mergeCell ref="C22:F22"/>
    <mergeCell ref="C23:F23"/>
    <mergeCell ref="C24:F24"/>
    <mergeCell ref="C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8" min="4" style="0" width="14"/>
    <col collapsed="false" customWidth="true" hidden="false" outlineLevel="0" max="9" min="9" style="0" width="28"/>
  </cols>
  <sheetData>
    <row r="2" customFormat="false" ht="15" hidden="false" customHeight="true" outlineLevel="0" collapsed="false">
      <c r="B2" s="9" t="s">
        <v>93</v>
      </c>
      <c r="C2" s="9"/>
      <c r="D2" s="9"/>
      <c r="E2" s="9"/>
      <c r="F2" s="9"/>
      <c r="G2" s="9"/>
      <c r="H2" s="9"/>
      <c r="I2" s="9"/>
    </row>
    <row r="4" customFormat="false" ht="15" hidden="false" customHeight="false" outlineLevel="0" collapsed="false">
      <c r="B4" s="17" t="s">
        <v>94</v>
      </c>
      <c r="C4" s="17"/>
      <c r="D4" s="17"/>
      <c r="E4" s="17"/>
      <c r="F4" s="17"/>
      <c r="G4" s="17"/>
      <c r="H4" s="17"/>
      <c r="I4" s="17"/>
    </row>
    <row r="5" customFormat="false" ht="28.35" hidden="false" customHeight="false" outlineLevel="0" collapsed="false">
      <c r="B5" s="7" t="s">
        <v>95</v>
      </c>
      <c r="C5" s="7" t="s">
        <v>96</v>
      </c>
      <c r="D5" s="7" t="s">
        <v>97</v>
      </c>
      <c r="E5" s="7" t="s">
        <v>98</v>
      </c>
      <c r="F5" s="7" t="s">
        <v>99</v>
      </c>
      <c r="G5" s="7" t="s">
        <v>100</v>
      </c>
      <c r="H5" s="7" t="s">
        <v>101</v>
      </c>
      <c r="I5" s="7" t="s">
        <v>102</v>
      </c>
    </row>
    <row r="6" customFormat="false" ht="15" hidden="false" customHeight="false" outlineLevel="0" collapsed="false">
      <c r="B6" s="18" t="s">
        <v>103</v>
      </c>
      <c r="C6" s="19" t="n">
        <v>60</v>
      </c>
      <c r="D6" s="11" t="n">
        <v>200</v>
      </c>
      <c r="E6" s="11" t="n">
        <v>0</v>
      </c>
      <c r="F6" s="20" t="n">
        <f aca="false">D6+E6</f>
        <v>200</v>
      </c>
      <c r="G6" s="21" t="n">
        <f aca="false">C6/F6</f>
        <v>0.3</v>
      </c>
      <c r="H6" s="20" t="n">
        <f aca="false">F6/5</f>
        <v>40</v>
      </c>
      <c r="I6" s="5" t="s">
        <v>104</v>
      </c>
    </row>
    <row r="7" customFormat="false" ht="15" hidden="false" customHeight="false" outlineLevel="0" collapsed="false">
      <c r="B7" s="18" t="s">
        <v>105</v>
      </c>
      <c r="C7" s="19" t="n">
        <v>120</v>
      </c>
      <c r="D7" s="11" t="n">
        <v>500</v>
      </c>
      <c r="E7" s="11" t="n">
        <v>50</v>
      </c>
      <c r="F7" s="20" t="n">
        <f aca="false">D7+E7</f>
        <v>550</v>
      </c>
      <c r="G7" s="21" t="n">
        <f aca="false">C7/F7</f>
        <v>0.218181818181818</v>
      </c>
      <c r="H7" s="20" t="n">
        <f aca="false">F7/5</f>
        <v>110</v>
      </c>
      <c r="I7" s="5" t="s">
        <v>106</v>
      </c>
    </row>
    <row r="8" customFormat="false" ht="15" hidden="false" customHeight="false" outlineLevel="0" collapsed="false">
      <c r="B8" s="18" t="s">
        <v>107</v>
      </c>
      <c r="C8" s="19" t="n">
        <v>240</v>
      </c>
      <c r="D8" s="11" t="n">
        <v>1200</v>
      </c>
      <c r="E8" s="11" t="n">
        <v>200</v>
      </c>
      <c r="F8" s="20" t="n">
        <f aca="false">D8+E8</f>
        <v>1400</v>
      </c>
      <c r="G8" s="21" t="n">
        <f aca="false">C8/F8</f>
        <v>0.171428571428571</v>
      </c>
      <c r="H8" s="20" t="n">
        <f aca="false">F8/5</f>
        <v>280</v>
      </c>
      <c r="I8" s="5" t="s">
        <v>108</v>
      </c>
    </row>
    <row r="10" customFormat="false" ht="15" hidden="false" customHeight="false" outlineLevel="0" collapsed="false">
      <c r="B10" s="17" t="s">
        <v>109</v>
      </c>
      <c r="C10" s="17"/>
      <c r="D10" s="17"/>
      <c r="E10" s="17"/>
      <c r="F10" s="17"/>
      <c r="G10" s="17"/>
      <c r="H10" s="17"/>
      <c r="I10" s="17"/>
    </row>
    <row r="11" customFormat="false" ht="15" hidden="false" customHeight="false" outlineLevel="0" collapsed="false">
      <c r="B11" s="7" t="s">
        <v>95</v>
      </c>
      <c r="C11" s="7" t="s">
        <v>96</v>
      </c>
      <c r="D11" s="7" t="s">
        <v>110</v>
      </c>
      <c r="E11" s="7" t="s">
        <v>111</v>
      </c>
      <c r="F11" s="7" t="s">
        <v>112</v>
      </c>
      <c r="G11" s="7" t="s">
        <v>100</v>
      </c>
      <c r="H11" s="7" t="s">
        <v>113</v>
      </c>
      <c r="I11" s="7" t="s">
        <v>102</v>
      </c>
    </row>
    <row r="12" customFormat="false" ht="15" hidden="false" customHeight="false" outlineLevel="0" collapsed="false">
      <c r="B12" s="18" t="s">
        <v>114</v>
      </c>
      <c r="C12" s="19" t="n">
        <v>150</v>
      </c>
      <c r="D12" s="14" t="s">
        <v>115</v>
      </c>
      <c r="E12" s="21" t="n">
        <f aca="false">C12/1</f>
        <v>150</v>
      </c>
      <c r="F12" s="11" t="n">
        <v>600</v>
      </c>
      <c r="G12" s="21" t="n">
        <f aca="false">E12/F12</f>
        <v>0.25</v>
      </c>
      <c r="H12" s="22" t="n">
        <f aca="false">C12*(12/1)</f>
        <v>1800</v>
      </c>
      <c r="I12" s="5" t="s">
        <v>116</v>
      </c>
    </row>
    <row r="13" customFormat="false" ht="15" hidden="false" customHeight="false" outlineLevel="0" collapsed="false">
      <c r="B13" s="18" t="s">
        <v>117</v>
      </c>
      <c r="C13" s="19" t="n">
        <v>1440</v>
      </c>
      <c r="D13" s="14" t="s">
        <v>118</v>
      </c>
      <c r="E13" s="21" t="n">
        <f aca="false">C13/12</f>
        <v>120</v>
      </c>
      <c r="F13" s="11" t="n">
        <v>600</v>
      </c>
      <c r="G13" s="21" t="n">
        <f aca="false">E13/F13</f>
        <v>0.2</v>
      </c>
      <c r="H13" s="22" t="n">
        <f aca="false">C13*(12/12)</f>
        <v>1440</v>
      </c>
      <c r="I13" s="5" t="s">
        <v>119</v>
      </c>
    </row>
    <row r="15" customFormat="false" ht="15" hidden="false" customHeight="false" outlineLevel="0" collapsed="false">
      <c r="B15" s="17" t="s">
        <v>120</v>
      </c>
      <c r="C15" s="17"/>
      <c r="D15" s="17"/>
      <c r="E15" s="17"/>
      <c r="F15" s="17"/>
      <c r="G15" s="17"/>
      <c r="H15" s="17"/>
      <c r="I15" s="17"/>
    </row>
    <row r="16" customFormat="false" ht="27.6" hidden="false" customHeight="false" outlineLevel="0" collapsed="false">
      <c r="B16" s="7" t="s">
        <v>121</v>
      </c>
      <c r="C16" s="7" t="s">
        <v>122</v>
      </c>
      <c r="D16" s="7" t="s">
        <v>123</v>
      </c>
      <c r="E16" s="10"/>
      <c r="F16" s="10"/>
      <c r="G16" s="10"/>
      <c r="H16" s="10"/>
      <c r="I16" s="10"/>
    </row>
    <row r="17" customFormat="false" ht="15" hidden="false" customHeight="false" outlineLevel="0" collapsed="false">
      <c r="B17" s="23" t="s">
        <v>103</v>
      </c>
      <c r="C17" s="21" t="n">
        <f aca="false">60/200</f>
        <v>0.3</v>
      </c>
      <c r="D17" s="13" t="n">
        <f aca="false">C17/MAX($C$17:$C$21)</f>
        <v>1</v>
      </c>
    </row>
    <row r="18" customFormat="false" ht="15" hidden="false" customHeight="false" outlineLevel="0" collapsed="false">
      <c r="B18" s="24" t="s">
        <v>124</v>
      </c>
      <c r="C18" s="21" t="n">
        <f aca="false">150/600</f>
        <v>0.25</v>
      </c>
      <c r="D18" s="13" t="n">
        <f aca="false">C18/MAX($C$17:$C$21)</f>
        <v>0.833333333333333</v>
      </c>
    </row>
    <row r="19" customFormat="false" ht="15" hidden="false" customHeight="false" outlineLevel="0" collapsed="false">
      <c r="B19" s="23" t="s">
        <v>105</v>
      </c>
      <c r="C19" s="21" t="n">
        <f aca="false">120/550</f>
        <v>0.218181818181818</v>
      </c>
      <c r="D19" s="13" t="n">
        <f aca="false">C19/MAX($C$17:$C$21)</f>
        <v>0.727272727272727</v>
      </c>
    </row>
    <row r="20" customFormat="false" ht="15" hidden="false" customHeight="false" outlineLevel="0" collapsed="false">
      <c r="B20" s="24" t="s">
        <v>125</v>
      </c>
      <c r="C20" s="21" t="n">
        <f aca="false">1440/7200</f>
        <v>0.2</v>
      </c>
      <c r="D20" s="13" t="n">
        <f aca="false">C20/MAX($C$17:$C$21)</f>
        <v>0.666666666666667</v>
      </c>
    </row>
    <row r="21" customFormat="false" ht="15" hidden="false" customHeight="false" outlineLevel="0" collapsed="false">
      <c r="B21" s="23" t="s">
        <v>107</v>
      </c>
      <c r="C21" s="21" t="n">
        <f aca="false">240/1400</f>
        <v>0.171428571428571</v>
      </c>
      <c r="D21" s="13" t="n">
        <f aca="false">C21/MAX($C$17:$C$21)</f>
        <v>0.571428571428572</v>
      </c>
    </row>
  </sheetData>
  <mergeCells count="4">
    <mergeCell ref="B2:I2"/>
    <mergeCell ref="B4:I4"/>
    <mergeCell ref="B10:I10"/>
    <mergeCell ref="B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14"/>
    <col collapsed="false" customWidth="true" hidden="false" outlineLevel="0" max="7" min="7" style="0" width="28"/>
  </cols>
  <sheetData>
    <row r="2" customFormat="false" ht="15" hidden="false" customHeight="true" outlineLevel="0" collapsed="false">
      <c r="B2" s="9" t="s">
        <v>126</v>
      </c>
      <c r="C2" s="9"/>
      <c r="D2" s="9"/>
      <c r="E2" s="9"/>
      <c r="F2" s="9"/>
      <c r="G2" s="9"/>
    </row>
    <row r="4" customFormat="false" ht="15" hidden="false" customHeight="false" outlineLevel="0" collapsed="false">
      <c r="B4" s="7" t="s">
        <v>127</v>
      </c>
      <c r="C4" s="7" t="s">
        <v>128</v>
      </c>
      <c r="D4" s="7" t="s">
        <v>129</v>
      </c>
      <c r="E4" s="7" t="s">
        <v>130</v>
      </c>
      <c r="F4" s="7" t="s">
        <v>131</v>
      </c>
      <c r="G4" s="7" t="s">
        <v>132</v>
      </c>
    </row>
    <row r="5" customFormat="false" ht="21.75" hidden="false" customHeight="true" outlineLevel="0" collapsed="false">
      <c r="B5" s="8" t="s">
        <v>133</v>
      </c>
      <c r="C5" s="16" t="s">
        <v>134</v>
      </c>
      <c r="D5" s="16" t="s">
        <v>135</v>
      </c>
      <c r="E5" s="16" t="s">
        <v>135</v>
      </c>
      <c r="F5" s="16" t="s">
        <v>135</v>
      </c>
      <c r="G5" s="5" t="s">
        <v>136</v>
      </c>
    </row>
    <row r="6" customFormat="false" ht="21.75" hidden="false" customHeight="true" outlineLevel="0" collapsed="false">
      <c r="B6" s="8" t="s">
        <v>137</v>
      </c>
      <c r="C6" s="16" t="s">
        <v>134</v>
      </c>
      <c r="D6" s="16" t="s">
        <v>135</v>
      </c>
      <c r="E6" s="16" t="s">
        <v>135</v>
      </c>
      <c r="F6" s="16" t="s">
        <v>135</v>
      </c>
      <c r="G6" s="5" t="s">
        <v>138</v>
      </c>
    </row>
    <row r="7" customFormat="false" ht="21.75" hidden="false" customHeight="true" outlineLevel="0" collapsed="false">
      <c r="B7" s="8" t="s">
        <v>139</v>
      </c>
      <c r="C7" s="16" t="s">
        <v>140</v>
      </c>
      <c r="D7" s="25" t="s">
        <v>141</v>
      </c>
      <c r="E7" s="16" t="s">
        <v>135</v>
      </c>
      <c r="F7" s="16" t="s">
        <v>135</v>
      </c>
      <c r="G7" s="5" t="s">
        <v>142</v>
      </c>
    </row>
    <row r="8" customFormat="false" ht="21.75" hidden="false" customHeight="true" outlineLevel="0" collapsed="false">
      <c r="B8" s="8" t="s">
        <v>57</v>
      </c>
      <c r="C8" s="16" t="s">
        <v>140</v>
      </c>
      <c r="D8" s="25" t="s">
        <v>143</v>
      </c>
      <c r="E8" s="16" t="s">
        <v>135</v>
      </c>
      <c r="F8" s="16" t="s">
        <v>135</v>
      </c>
      <c r="G8" s="5" t="s">
        <v>142</v>
      </c>
    </row>
    <row r="9" customFormat="false" ht="21.75" hidden="false" customHeight="true" outlineLevel="0" collapsed="false">
      <c r="B9" s="8" t="s">
        <v>144</v>
      </c>
      <c r="C9" s="16" t="s">
        <v>140</v>
      </c>
      <c r="D9" s="16" t="s">
        <v>135</v>
      </c>
      <c r="E9" s="16" t="s">
        <v>135</v>
      </c>
      <c r="F9" s="16" t="s">
        <v>135</v>
      </c>
      <c r="G9" s="5" t="s">
        <v>145</v>
      </c>
    </row>
    <row r="10" customFormat="false" ht="21.75" hidden="false" customHeight="true" outlineLevel="0" collapsed="false">
      <c r="B10" s="8" t="s">
        <v>146</v>
      </c>
      <c r="C10" s="16" t="s">
        <v>140</v>
      </c>
      <c r="D10" s="16" t="s">
        <v>140</v>
      </c>
      <c r="E10" s="16" t="s">
        <v>140</v>
      </c>
      <c r="F10" s="16" t="s">
        <v>135</v>
      </c>
      <c r="G10" s="5" t="s">
        <v>147</v>
      </c>
    </row>
    <row r="11" customFormat="false" ht="21.75" hidden="false" customHeight="true" outlineLevel="0" collapsed="false">
      <c r="B11" s="8" t="s">
        <v>148</v>
      </c>
      <c r="C11" s="16" t="s">
        <v>140</v>
      </c>
      <c r="D11" s="16" t="s">
        <v>140</v>
      </c>
      <c r="E11" s="16" t="s">
        <v>140</v>
      </c>
      <c r="F11" s="16" t="s">
        <v>135</v>
      </c>
      <c r="G11" s="5" t="s">
        <v>147</v>
      </c>
    </row>
    <row r="12" customFormat="false" ht="21.75" hidden="false" customHeight="true" outlineLevel="0" collapsed="false">
      <c r="B12" s="8" t="s">
        <v>149</v>
      </c>
      <c r="C12" s="16" t="s">
        <v>140</v>
      </c>
      <c r="D12" s="25" t="s">
        <v>150</v>
      </c>
      <c r="E12" s="25" t="s">
        <v>150</v>
      </c>
      <c r="F12" s="16" t="s">
        <v>135</v>
      </c>
      <c r="G12" s="5" t="s">
        <v>147</v>
      </c>
    </row>
    <row r="13" customFormat="false" ht="21.75" hidden="false" customHeight="true" outlineLevel="0" collapsed="false">
      <c r="B13" s="8" t="s">
        <v>151</v>
      </c>
      <c r="C13" s="16" t="s">
        <v>140</v>
      </c>
      <c r="D13" s="16" t="s">
        <v>140</v>
      </c>
      <c r="E13" s="16" t="s">
        <v>140</v>
      </c>
      <c r="F13" s="16" t="s">
        <v>135</v>
      </c>
      <c r="G13" s="5" t="s">
        <v>152</v>
      </c>
    </row>
    <row r="14" customFormat="false" ht="21.75" hidden="false" customHeight="true" outlineLevel="0" collapsed="false">
      <c r="B14" s="8" t="s">
        <v>153</v>
      </c>
      <c r="C14" s="16" t="s">
        <v>154</v>
      </c>
      <c r="D14" s="25" t="s">
        <v>66</v>
      </c>
      <c r="E14" s="16" t="s">
        <v>154</v>
      </c>
      <c r="F14" s="16" t="s">
        <v>154</v>
      </c>
      <c r="G14" s="6" t="s">
        <v>155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7" min="3" style="0" width="14"/>
    <col collapsed="false" customWidth="true" hidden="false" outlineLevel="0" max="8" min="8" style="0" width="28"/>
  </cols>
  <sheetData>
    <row r="2" customFormat="false" ht="15" hidden="false" customHeight="true" outlineLevel="0" collapsed="false">
      <c r="B2" s="9" t="s">
        <v>156</v>
      </c>
      <c r="C2" s="9"/>
      <c r="D2" s="9"/>
      <c r="E2" s="9"/>
      <c r="F2" s="9"/>
      <c r="G2" s="9"/>
      <c r="H2" s="9"/>
    </row>
    <row r="4" customFormat="false" ht="15" hidden="false" customHeight="false" outlineLevel="0" collapsed="false">
      <c r="B4" s="17" t="s">
        <v>157</v>
      </c>
      <c r="C4" s="17"/>
      <c r="D4" s="17"/>
      <c r="E4" s="17"/>
      <c r="F4" s="17"/>
      <c r="G4" s="17"/>
      <c r="H4" s="17"/>
    </row>
    <row r="5" customFormat="false" ht="15" hidden="false" customHeight="false" outlineLevel="0" collapsed="false">
      <c r="B5" s="26" t="s">
        <v>158</v>
      </c>
      <c r="C5" s="21" t="n">
        <f aca="false">0.27*32</f>
        <v>8.64</v>
      </c>
      <c r="D5" s="26" t="s">
        <v>159</v>
      </c>
      <c r="E5" s="21" t="n">
        <f aca="false">1.1*32</f>
        <v>35.2</v>
      </c>
      <c r="G5" s="12" t="s">
        <v>160</v>
      </c>
    </row>
    <row r="7" customFormat="false" ht="15" hidden="false" customHeight="false" outlineLevel="0" collapsed="false">
      <c r="B7" s="3" t="s">
        <v>161</v>
      </c>
      <c r="C7" s="3"/>
      <c r="D7" s="3"/>
      <c r="E7" s="3"/>
      <c r="F7" s="3"/>
      <c r="G7" s="3"/>
      <c r="H7" s="3"/>
    </row>
    <row r="8" customFormat="false" ht="15" hidden="false" customHeight="false" outlineLevel="0" collapsed="false">
      <c r="B8" s="7" t="s">
        <v>162</v>
      </c>
      <c r="C8" s="7" t="s">
        <v>62</v>
      </c>
      <c r="D8" s="7" t="s">
        <v>163</v>
      </c>
      <c r="E8" s="10" t="s">
        <v>164</v>
      </c>
      <c r="F8" s="10" t="s">
        <v>165</v>
      </c>
      <c r="G8" s="10" t="s">
        <v>166</v>
      </c>
      <c r="H8" s="7" t="s">
        <v>167</v>
      </c>
      <c r="I8" s="7" t="s">
        <v>168</v>
      </c>
    </row>
    <row r="9" customFormat="false" ht="15" hidden="false" customHeight="false" outlineLevel="0" collapsed="false">
      <c r="B9" s="4" t="s">
        <v>169</v>
      </c>
      <c r="C9" s="11" t="n">
        <v>5</v>
      </c>
      <c r="D9" s="21" t="n">
        <f aca="false">C9*(120/550)</f>
        <v>1.09090909090909</v>
      </c>
      <c r="E9" s="11" t="n">
        <v>1500</v>
      </c>
      <c r="F9" s="11" t="n">
        <v>400</v>
      </c>
      <c r="G9" s="21" t="n">
        <f aca="false">E9/1000000*$C$5+F9/1000000*$E$5</f>
        <v>0.02704</v>
      </c>
      <c r="H9" s="21" t="n">
        <f aca="false">D9-G9</f>
        <v>1.06386909090909</v>
      </c>
      <c r="I9" s="13" t="n">
        <f aca="false">IF(D9=0,0,H9/D9)</f>
        <v>0.975213333333333</v>
      </c>
    </row>
    <row r="10" customFormat="false" ht="15" hidden="false" customHeight="false" outlineLevel="0" collapsed="false">
      <c r="B10" s="4" t="s">
        <v>170</v>
      </c>
      <c r="C10" s="11" t="n">
        <v>5</v>
      </c>
      <c r="D10" s="21" t="n">
        <f aca="false">C10*(120/550)</f>
        <v>1.09090909090909</v>
      </c>
      <c r="E10" s="11" t="n">
        <v>1500</v>
      </c>
      <c r="F10" s="11" t="n">
        <v>500</v>
      </c>
      <c r="G10" s="21" t="n">
        <f aca="false">E10/1000000*$C$5+F10/1000000*$E$5</f>
        <v>0.03056</v>
      </c>
      <c r="H10" s="21" t="n">
        <f aca="false">D10-G10</f>
        <v>1.06034909090909</v>
      </c>
      <c r="I10" s="13" t="n">
        <f aca="false">IF(D10=0,0,H10/D10)</f>
        <v>0.971986666666667</v>
      </c>
    </row>
    <row r="11" customFormat="false" ht="15" hidden="false" customHeight="false" outlineLevel="0" collapsed="false">
      <c r="B11" s="4" t="s">
        <v>171</v>
      </c>
      <c r="C11" s="11" t="n">
        <v>10</v>
      </c>
      <c r="D11" s="21" t="n">
        <f aca="false">C11*(120/550)</f>
        <v>2.18181818181818</v>
      </c>
      <c r="E11" s="11" t="n">
        <v>3000</v>
      </c>
      <c r="F11" s="11" t="n">
        <v>400</v>
      </c>
      <c r="G11" s="21" t="n">
        <f aca="false">E11/1000000*$C$5+F11/1000000*$E$5</f>
        <v>0.04</v>
      </c>
      <c r="H11" s="21" t="n">
        <f aca="false">D11-G11</f>
        <v>2.14181818181818</v>
      </c>
      <c r="I11" s="13" t="n">
        <f aca="false">IF(D11=0,0,H11/D11)</f>
        <v>0.981666666666667</v>
      </c>
    </row>
    <row r="12" customFormat="false" ht="15" hidden="false" customHeight="false" outlineLevel="0" collapsed="false">
      <c r="B12" s="4" t="s">
        <v>57</v>
      </c>
      <c r="C12" s="11" t="n">
        <v>1</v>
      </c>
      <c r="D12" s="21" t="n">
        <f aca="false">C12*(120/550)</f>
        <v>0.218181818181818</v>
      </c>
      <c r="E12" s="11" t="n">
        <v>1200</v>
      </c>
      <c r="F12" s="11" t="n">
        <v>300</v>
      </c>
      <c r="G12" s="21" t="n">
        <f aca="false">E12/1000000*$C$5+F12/1000000*$E$5</f>
        <v>0.020928</v>
      </c>
      <c r="H12" s="21" t="n">
        <f aca="false">D12-G12</f>
        <v>0.197253818181818</v>
      </c>
      <c r="I12" s="13" t="n">
        <f aca="false">IF(D12=0,0,H12/D12)</f>
        <v>0.90408</v>
      </c>
    </row>
    <row r="14" customFormat="false" ht="15" hidden="false" customHeight="false" outlineLevel="0" collapsed="false">
      <c r="B14" s="3" t="s">
        <v>172</v>
      </c>
      <c r="C14" s="3"/>
      <c r="D14" s="3"/>
      <c r="E14" s="3"/>
      <c r="F14" s="3"/>
      <c r="G14" s="3"/>
      <c r="H14" s="3"/>
    </row>
    <row r="15" customFormat="false" ht="28.35" hidden="false" customHeight="false" outlineLevel="0" collapsed="false">
      <c r="B15" s="7" t="s">
        <v>121</v>
      </c>
      <c r="C15" s="7" t="s">
        <v>173</v>
      </c>
      <c r="D15" s="7" t="s">
        <v>174</v>
      </c>
      <c r="E15" s="7" t="s">
        <v>167</v>
      </c>
      <c r="F15" s="7" t="s">
        <v>168</v>
      </c>
      <c r="G15" s="7" t="s">
        <v>132</v>
      </c>
    </row>
    <row r="16" customFormat="false" ht="41.75" hidden="false" customHeight="false" outlineLevel="0" collapsed="false">
      <c r="B16" s="4" t="s">
        <v>175</v>
      </c>
      <c r="C16" s="19" t="n">
        <v>150</v>
      </c>
      <c r="D16" s="21" t="n">
        <f aca="false">120*(1500/1000000*8.64+400/1000000*35.2)</f>
        <v>3.2448</v>
      </c>
      <c r="E16" s="21" t="n">
        <f aca="false">C16-D16</f>
        <v>146.7552</v>
      </c>
      <c r="F16" s="13" t="n">
        <f aca="false">E16/C16</f>
        <v>0.978368</v>
      </c>
      <c r="G16" s="5" t="s">
        <v>176</v>
      </c>
    </row>
    <row r="17" customFormat="false" ht="41.75" hidden="false" customHeight="false" outlineLevel="0" collapsed="false">
      <c r="B17" s="4" t="s">
        <v>177</v>
      </c>
      <c r="C17" s="21" t="n">
        <f aca="false">1440/12</f>
        <v>120</v>
      </c>
      <c r="D17" s="21" t="n">
        <f aca="false">120*(1500/1000000*8.64+400/1000000*35.2)</f>
        <v>3.2448</v>
      </c>
      <c r="E17" s="21" t="n">
        <f aca="false">C17-D17</f>
        <v>116.7552</v>
      </c>
      <c r="F17" s="13" t="n">
        <f aca="false">E17/C17</f>
        <v>0.97296</v>
      </c>
      <c r="G17" s="5" t="s">
        <v>178</v>
      </c>
    </row>
  </sheetData>
  <mergeCells count="4">
    <mergeCell ref="B2:H2"/>
    <mergeCell ref="B4:H4"/>
    <mergeCell ref="B7:H7"/>
    <mergeCell ref="B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36"/>
  </cols>
  <sheetData>
    <row r="2" customFormat="false" ht="15" hidden="false" customHeight="true" outlineLevel="0" collapsed="false">
      <c r="B2" s="9" t="s">
        <v>179</v>
      </c>
      <c r="C2" s="9"/>
      <c r="D2" s="9"/>
      <c r="E2" s="9"/>
    </row>
    <row r="4" customFormat="false" ht="15" hidden="false" customHeight="false" outlineLevel="0" collapsed="false">
      <c r="B4" s="7" t="s">
        <v>180</v>
      </c>
      <c r="C4" s="7" t="s">
        <v>181</v>
      </c>
      <c r="D4" s="7" t="s">
        <v>182</v>
      </c>
      <c r="E4" s="7" t="s">
        <v>15</v>
      </c>
    </row>
    <row r="5" customFormat="false" ht="15" hidden="false" customHeight="false" outlineLevel="0" collapsed="false">
      <c r="B5" s="18" t="s">
        <v>183</v>
      </c>
      <c r="C5" s="11" t="n">
        <v>10000</v>
      </c>
      <c r="D5" s="14"/>
      <c r="E5" s="6" t="s">
        <v>184</v>
      </c>
    </row>
    <row r="6" customFormat="false" ht="15" hidden="false" customHeight="false" outlineLevel="0" collapsed="false">
      <c r="B6" s="18" t="s">
        <v>185</v>
      </c>
      <c r="C6" s="11" t="n">
        <v>3500</v>
      </c>
      <c r="D6" s="13" t="n">
        <f aca="false">C6/C5</f>
        <v>0.35</v>
      </c>
      <c r="E6" s="5" t="s">
        <v>186</v>
      </c>
    </row>
    <row r="7" customFormat="false" ht="15" hidden="false" customHeight="false" outlineLevel="0" collapsed="false">
      <c r="B7" s="18" t="s">
        <v>187</v>
      </c>
      <c r="C7" s="11" t="n">
        <v>2500</v>
      </c>
      <c r="D7" s="13" t="n">
        <f aca="false">C7/C6</f>
        <v>0.714285714285714</v>
      </c>
      <c r="E7" s="5" t="s">
        <v>188</v>
      </c>
    </row>
    <row r="8" customFormat="false" ht="15" hidden="false" customHeight="false" outlineLevel="0" collapsed="false">
      <c r="B8" s="18" t="s">
        <v>189</v>
      </c>
      <c r="C8" s="11" t="n">
        <v>800</v>
      </c>
      <c r="D8" s="13" t="n">
        <f aca="false">C8/C7</f>
        <v>0.32</v>
      </c>
      <c r="E8" s="5" t="s">
        <v>190</v>
      </c>
    </row>
    <row r="9" customFormat="false" ht="15" hidden="false" customHeight="false" outlineLevel="0" collapsed="false">
      <c r="B9" s="18" t="s">
        <v>191</v>
      </c>
      <c r="C9" s="11" t="n">
        <v>400</v>
      </c>
      <c r="D9" s="13" t="n">
        <f aca="false">C9/C8</f>
        <v>0.5</v>
      </c>
      <c r="E9" s="6" t="s">
        <v>192</v>
      </c>
    </row>
    <row r="10" customFormat="false" ht="15" hidden="false" customHeight="false" outlineLevel="0" collapsed="false">
      <c r="B10" s="18" t="s">
        <v>193</v>
      </c>
      <c r="C10" s="11" t="n">
        <v>120</v>
      </c>
      <c r="D10" s="13" t="n">
        <f aca="false">C10/C9</f>
        <v>0.3</v>
      </c>
      <c r="E10" s="5" t="s">
        <v>194</v>
      </c>
    </row>
    <row r="11" customFormat="false" ht="15" hidden="false" customHeight="false" outlineLevel="0" collapsed="false">
      <c r="B11" s="18" t="s">
        <v>195</v>
      </c>
      <c r="C11" s="11" t="n">
        <v>30</v>
      </c>
      <c r="D11" s="13" t="n">
        <f aca="false">C11/C10</f>
        <v>0.25</v>
      </c>
      <c r="E11" s="5" t="s">
        <v>196</v>
      </c>
    </row>
    <row r="13" customFormat="false" ht="15" hidden="false" customHeight="false" outlineLevel="0" collapsed="false">
      <c r="B13" s="27" t="s">
        <v>197</v>
      </c>
      <c r="C13" s="13" t="n">
        <f aca="false">C10/C5</f>
        <v>0.012</v>
      </c>
    </row>
    <row r="14" customFormat="false" ht="15" hidden="false" customHeight="false" outlineLevel="0" collapsed="false">
      <c r="B14" s="27" t="s">
        <v>198</v>
      </c>
      <c r="C14" s="13" t="n">
        <f aca="false">C11/C5</f>
        <v>0.003</v>
      </c>
    </row>
    <row r="16" customFormat="false" ht="15" hidden="false" customHeight="false" outlineLevel="0" collapsed="false">
      <c r="B16" s="3" t="s">
        <v>199</v>
      </c>
      <c r="C16" s="3"/>
      <c r="D16" s="3"/>
      <c r="E16" s="3"/>
    </row>
    <row r="17" customFormat="false" ht="24" hidden="false" customHeight="true" outlineLevel="0" collapsed="false">
      <c r="B17" s="16" t="s">
        <v>87</v>
      </c>
      <c r="C17" s="6" t="s">
        <v>200</v>
      </c>
      <c r="D17" s="6"/>
      <c r="E17" s="6"/>
    </row>
    <row r="18" customFormat="false" ht="24" hidden="false" customHeight="true" outlineLevel="0" collapsed="false">
      <c r="B18" s="16" t="s">
        <v>87</v>
      </c>
      <c r="C18" s="5" t="s">
        <v>201</v>
      </c>
      <c r="D18" s="5"/>
      <c r="E18" s="5"/>
    </row>
    <row r="19" customFormat="false" ht="24" hidden="false" customHeight="true" outlineLevel="0" collapsed="false">
      <c r="B19" s="16" t="s">
        <v>87</v>
      </c>
      <c r="C19" s="5" t="s">
        <v>202</v>
      </c>
      <c r="D19" s="5"/>
      <c r="E19" s="5"/>
    </row>
    <row r="20" customFormat="false" ht="24" hidden="false" customHeight="true" outlineLevel="0" collapsed="false">
      <c r="B20" s="16" t="s">
        <v>87</v>
      </c>
      <c r="C20" s="5" t="s">
        <v>203</v>
      </c>
      <c r="D20" s="5"/>
      <c r="E20" s="5"/>
    </row>
    <row r="21" customFormat="false" ht="24" hidden="false" customHeight="true" outlineLevel="0" collapsed="false">
      <c r="B21" s="16" t="s">
        <v>87</v>
      </c>
      <c r="C21" s="5" t="s">
        <v>204</v>
      </c>
      <c r="D21" s="5"/>
      <c r="E21" s="5"/>
    </row>
  </sheetData>
  <mergeCells count="7">
    <mergeCell ref="B2:E2"/>
    <mergeCell ref="B16:E16"/>
    <mergeCell ref="C17:E17"/>
    <mergeCell ref="C18:E18"/>
    <mergeCell ref="C19:E19"/>
    <mergeCell ref="C20:E20"/>
    <mergeCell ref="C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8"/>
    <col collapsed="false" customWidth="true" hidden="false" outlineLevel="0" max="4" min="4" style="0" width="55"/>
    <col collapsed="false" customWidth="true" hidden="false" outlineLevel="0" max="5" min="5" style="0" width="14"/>
  </cols>
  <sheetData>
    <row r="2" customFormat="false" ht="15" hidden="false" customHeight="true" outlineLevel="0" collapsed="false">
      <c r="B2" s="9" t="s">
        <v>205</v>
      </c>
      <c r="C2" s="9"/>
      <c r="D2" s="9"/>
      <c r="E2" s="9"/>
    </row>
    <row r="4" customFormat="false" ht="15" hidden="false" customHeight="false" outlineLevel="0" collapsed="false">
      <c r="B4" s="10" t="s">
        <v>206</v>
      </c>
      <c r="C4" s="7" t="s">
        <v>207</v>
      </c>
      <c r="D4" s="7" t="s">
        <v>15</v>
      </c>
      <c r="E4" s="7" t="s">
        <v>208</v>
      </c>
    </row>
    <row r="5" customFormat="false" ht="36" hidden="false" customHeight="true" outlineLevel="0" collapsed="false">
      <c r="B5" s="25" t="n">
        <v>1</v>
      </c>
      <c r="C5" s="8" t="s">
        <v>209</v>
      </c>
      <c r="D5" s="5" t="s">
        <v>210</v>
      </c>
      <c r="E5" s="28" t="s">
        <v>211</v>
      </c>
    </row>
    <row r="6" customFormat="false" ht="36" hidden="false" customHeight="true" outlineLevel="0" collapsed="false">
      <c r="B6" s="25" t="n">
        <v>2</v>
      </c>
      <c r="C6" s="29" t="s">
        <v>212</v>
      </c>
      <c r="D6" s="5" t="s">
        <v>213</v>
      </c>
      <c r="E6" s="28" t="s">
        <v>211</v>
      </c>
    </row>
    <row r="7" customFormat="false" ht="36" hidden="false" customHeight="true" outlineLevel="0" collapsed="false">
      <c r="B7" s="25" t="n">
        <v>3</v>
      </c>
      <c r="C7" s="29" t="s">
        <v>214</v>
      </c>
      <c r="D7" s="6" t="s">
        <v>215</v>
      </c>
      <c r="E7" s="28" t="s">
        <v>211</v>
      </c>
    </row>
    <row r="8" customFormat="false" ht="36" hidden="false" customHeight="true" outlineLevel="0" collapsed="false">
      <c r="B8" s="25" t="n">
        <v>4</v>
      </c>
      <c r="C8" s="29" t="s">
        <v>216</v>
      </c>
      <c r="D8" s="5" t="s">
        <v>217</v>
      </c>
      <c r="E8" s="30" t="s">
        <v>218</v>
      </c>
    </row>
    <row r="9" customFormat="false" ht="36" hidden="false" customHeight="true" outlineLevel="0" collapsed="false">
      <c r="B9" s="25" t="n">
        <v>5</v>
      </c>
      <c r="C9" s="29" t="s">
        <v>219</v>
      </c>
      <c r="D9" s="6" t="s">
        <v>220</v>
      </c>
      <c r="E9" s="31" t="s">
        <v>221</v>
      </c>
    </row>
    <row r="10" customFormat="false" ht="36" hidden="false" customHeight="true" outlineLevel="0" collapsed="false">
      <c r="B10" s="25" t="n">
        <v>6</v>
      </c>
      <c r="C10" s="29" t="s">
        <v>222</v>
      </c>
      <c r="D10" s="5" t="s">
        <v>223</v>
      </c>
      <c r="E10" s="31" t="s">
        <v>224</v>
      </c>
    </row>
    <row r="11" customFormat="false" ht="36" hidden="false" customHeight="true" outlineLevel="0" collapsed="false">
      <c r="B11" s="25" t="n">
        <v>7</v>
      </c>
      <c r="C11" s="29" t="s">
        <v>225</v>
      </c>
      <c r="D11" s="5" t="s">
        <v>226</v>
      </c>
      <c r="E11" s="28" t="s">
        <v>211</v>
      </c>
    </row>
    <row r="12" customFormat="false" ht="36" hidden="false" customHeight="true" outlineLevel="0" collapsed="false">
      <c r="B12" s="25" t="n">
        <v>8</v>
      </c>
      <c r="C12" s="8" t="s">
        <v>227</v>
      </c>
      <c r="D12" s="5" t="s">
        <v>228</v>
      </c>
      <c r="E12" s="28" t="s">
        <v>211</v>
      </c>
    </row>
    <row r="13" customFormat="false" ht="36" hidden="false" customHeight="true" outlineLevel="0" collapsed="false">
      <c r="B13" s="25" t="n">
        <v>9</v>
      </c>
      <c r="C13" s="8" t="s">
        <v>229</v>
      </c>
      <c r="D13" s="5" t="s">
        <v>230</v>
      </c>
      <c r="E13" s="28" t="s">
        <v>211</v>
      </c>
    </row>
    <row r="14" customFormat="false" ht="36" hidden="false" customHeight="true" outlineLevel="0" collapsed="false">
      <c r="B14" s="25" t="n">
        <v>10</v>
      </c>
      <c r="C14" s="8" t="s">
        <v>231</v>
      </c>
      <c r="D14" s="5" t="s">
        <v>232</v>
      </c>
      <c r="E14" s="28" t="s">
        <v>211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2026-04-21T12:56:02Z</dcterms:created>
  <dc:creator>openpyxl</dc:creator>
  <dc:description/>
  <dc:language>en-US</dc:language>
  <cp:lastModifiedBy/>
  <dcterms:modified xsi:type="dcterms:W3CDTF">2026-04-21T12:56:02Z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